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5"/>
  </bookViews>
  <sheets>
    <sheet name="Ex8 Giordano 7.4" sheetId="1" r:id="rId1"/>
    <sheet name="Ex9 Giordano 7.4" sheetId="2" r:id="rId2"/>
    <sheet name="Ex10 Giordano 7.4" sheetId="3" r:id="rId3"/>
    <sheet name="Random Exercise" sheetId="4" r:id="rId4"/>
    <sheet name="Midterm review 1" sheetId="5" r:id="rId5"/>
    <sheet name="Midterm review2" sheetId="6" r:id="rId6"/>
    <sheet name="Midterm review 3" sheetId="7" r:id="rId7"/>
    <sheet name="Midterm review 4" sheetId="8" r:id="rId8"/>
    <sheet name="Sheet15" sheetId="9" r:id="rId9"/>
    <sheet name="Sheet16" sheetId="10" r:id="rId10"/>
    <sheet name="Sheet14" sheetId="11" r:id="rId11"/>
    <sheet name="Sheet17" sheetId="12" r:id="rId12"/>
    <sheet name="Sheet18" sheetId="13" r:id="rId13"/>
    <sheet name="Sheet19" sheetId="14" r:id="rId14"/>
    <sheet name="Sheet20" sheetId="15" r:id="rId15"/>
    <sheet name="Ôn thi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<sst xmlns="http://schemas.openxmlformats.org/spreadsheetml/2006/main" count="2722" uniqueCount="973">
  <si>
    <t>Max</t>
  </si>
  <si>
    <t>2x+3y</t>
  </si>
  <si>
    <t>Bài toán</t>
  </si>
  <si>
    <t>Min</t>
  </si>
  <si>
    <t>Chuyển thành bài toán</t>
  </si>
  <si>
    <t>-2x-3y</t>
  </si>
  <si>
    <t>In Var</t>
  </si>
  <si>
    <t>Out Var</t>
  </si>
  <si>
    <t>Base</t>
  </si>
  <si>
    <t>x</t>
  </si>
  <si>
    <t>y</t>
  </si>
  <si>
    <t>a1</t>
  </si>
  <si>
    <t>a2</t>
  </si>
  <si>
    <t>a3</t>
  </si>
  <si>
    <t>a4</t>
  </si>
  <si>
    <t>z</t>
  </si>
  <si>
    <t>rhs</t>
  </si>
  <si>
    <t>Ratio</t>
  </si>
  <si>
    <t>r</t>
  </si>
  <si>
    <t>row2+row1/3</t>
  </si>
  <si>
    <t>row3-row1/3</t>
  </si>
  <si>
    <t>row4-row1*5/3</t>
  </si>
  <si>
    <t>last+row1</t>
  </si>
  <si>
    <t>In Var Val</t>
  </si>
  <si>
    <t>ANS</t>
  </si>
  <si>
    <t>Max -2x-3y=-6  -&gt; Min 2x+3y=6</t>
  </si>
  <si>
    <t>6x+4y</t>
  </si>
  <si>
    <t>-6x-4y</t>
  </si>
  <si>
    <t>Because no lower bound</t>
  </si>
  <si>
    <t>row1+row2</t>
  </si>
  <si>
    <t>row3-2*row2</t>
  </si>
  <si>
    <t>lastrow+6*row2</t>
  </si>
  <si>
    <t>Max -2x-3y=0  -&gt; Min 2x+3y=0</t>
  </si>
  <si>
    <t>6x+5y</t>
  </si>
  <si>
    <t>-6x-5y</t>
  </si>
  <si>
    <t>Because upper bound</t>
  </si>
  <si>
    <t>Max -6x-5y=-30  -&gt; Min 6x+5y=30</t>
  </si>
  <si>
    <t>2x+6y</t>
  </si>
  <si>
    <t>-2x-6y</t>
  </si>
  <si>
    <t>2x1-3x2&lt;=5</t>
  </si>
  <si>
    <t>------&gt;</t>
  </si>
  <si>
    <t>2x1-3x2+x3=5</t>
  </si>
  <si>
    <t>x1+3x2&gt;=7</t>
  </si>
  <si>
    <t>x1+3x2-x4=7</t>
  </si>
  <si>
    <t>&lt;=0</t>
  </si>
  <si>
    <t>&gt;0</t>
  </si>
  <si>
    <t>xcase</t>
  </si>
  <si>
    <t>Max -2x-6y=-14 -&gt; Min 2x+6y=14</t>
  </si>
  <si>
    <t xml:space="preserve">Min </t>
  </si>
  <si>
    <t>x1+x2+x3</t>
  </si>
  <si>
    <t>by</t>
  </si>
  <si>
    <t>find max of</t>
  </si>
  <si>
    <t>-x1-x2-x3</t>
  </si>
  <si>
    <t>base</t>
  </si>
  <si>
    <t>x1</t>
  </si>
  <si>
    <t>x2</t>
  </si>
  <si>
    <t>x3</t>
  </si>
  <si>
    <t>x4</t>
  </si>
  <si>
    <t>x5</t>
  </si>
  <si>
    <t>Rhs</t>
  </si>
  <si>
    <t>unk</t>
  </si>
  <si>
    <t>row4=row4-row1</t>
  </si>
  <si>
    <t xml:space="preserve">min </t>
  </si>
  <si>
    <t>x1+x3-x4</t>
  </si>
  <si>
    <t>By</t>
  </si>
  <si>
    <t>Max -x1-x3+x4</t>
  </si>
  <si>
    <t>x1 for Tab1</t>
  </si>
  <si>
    <t>x2 for Tab2</t>
  </si>
  <si>
    <t>Maximize</t>
  </si>
  <si>
    <t>600x1</t>
  </si>
  <si>
    <t>700x2</t>
  </si>
  <si>
    <t>120x1</t>
  </si>
  <si>
    <t>160x2</t>
  </si>
  <si>
    <t>&lt;=</t>
  </si>
  <si>
    <t>x&gt;=0</t>
  </si>
  <si>
    <t>Standard</t>
  </si>
  <si>
    <t>+x3</t>
  </si>
  <si>
    <t>+x4</t>
  </si>
  <si>
    <t>x2 in ; x3 out</t>
  </si>
  <si>
    <t>x1 in x4 out</t>
  </si>
  <si>
    <t>Num row</t>
  </si>
  <si>
    <t>Num col</t>
  </si>
  <si>
    <t>Cơ bản</t>
  </si>
  <si>
    <t>Khả Thi</t>
  </si>
  <si>
    <t>X</t>
  </si>
  <si>
    <t>Max -2x-6y=-14  -&gt; Min 2x+6y=14</t>
  </si>
  <si>
    <t>Binary search</t>
  </si>
  <si>
    <t>l=1</t>
  </si>
  <si>
    <t>e=7</t>
  </si>
  <si>
    <t>u=9</t>
  </si>
  <si>
    <t>e=10</t>
  </si>
  <si>
    <t>a</t>
  </si>
  <si>
    <t>l</t>
  </si>
  <si>
    <t>m</t>
  </si>
  <si>
    <t>u</t>
  </si>
  <si>
    <t xml:space="preserve">l m u </t>
  </si>
  <si>
    <t>l m</t>
  </si>
  <si>
    <t>lmu</t>
  </si>
  <si>
    <t>Fac1</t>
  </si>
  <si>
    <t>y = 1;</t>
  </si>
  <si>
    <t>z = 0;</t>
  </si>
  <si>
    <t>while (z != x) { z = z + 1; y = y * z; }</t>
  </si>
  <si>
    <t>|=par</t>
  </si>
  <si>
    <t>(|T|)</t>
  </si>
  <si>
    <t>(|y=x!|)</t>
  </si>
  <si>
    <t>|=tot</t>
  </si>
  <si>
    <t>(|x&gt;0|)</t>
  </si>
  <si>
    <t>y=2x</t>
  </si>
  <si>
    <t>(|x&lt;0|)</t>
  </si>
  <si>
    <t>|=/tot</t>
  </si>
  <si>
    <t>y = x - y - 1;</t>
  </si>
  <si>
    <t>-&gt;</t>
  </si>
  <si>
    <t>y=x-2x-1</t>
  </si>
  <si>
    <t>x = x + 1;</t>
  </si>
  <si>
    <t>x'=x+1;</t>
  </si>
  <si>
    <t>|=/par</t>
  </si>
  <si>
    <t>(|x&lt;=0|)</t>
  </si>
  <si>
    <t>(|y=0|)</t>
  </si>
  <si>
    <t>y = 2*x + y;</t>
  </si>
  <si>
    <t>y=(2*x')+x-2x-1</t>
  </si>
  <si>
    <t>=(2*x+2)+x-2x-1</t>
  </si>
  <si>
    <t>|-/par</t>
  </si>
  <si>
    <t>x là int8</t>
  </si>
  <si>
    <t>=x+1</t>
  </si>
  <si>
    <t>|-tot</t>
  </si>
  <si>
    <t>(y &gt; x) → (x + 3 &lt; y).</t>
  </si>
  <si>
    <t>!(y&gt;x)v(x+3&lt;y)</t>
  </si>
  <si>
    <t>(y&lt;=x)   v   (x+3&lt;y)</t>
  </si>
  <si>
    <t>(|x&gt;1|)</t>
  </si>
  <si>
    <t>(|x&gt;2|)</t>
  </si>
  <si>
    <t>implies</t>
  </si>
  <si>
    <t>(|x+1&gt;2|)</t>
  </si>
  <si>
    <t>Assignment</t>
  </si>
  <si>
    <t>if(x%2==0)</t>
  </si>
  <si>
    <t>y=x+1</t>
  </si>
  <si>
    <t>(|x%2=/=0|)</t>
  </si>
  <si>
    <t>while(x&gt;0)</t>
  </si>
  <si>
    <t>x=x+1</t>
  </si>
  <si>
    <t>(|T^(x&gt;0)|)</t>
  </si>
  <si>
    <t>(|y&gt;2|)</t>
  </si>
  <si>
    <t>z=y+2</t>
  </si>
  <si>
    <t>y=y*x;</t>
  </si>
  <si>
    <t>(|z&gt;3|)</t>
  </si>
  <si>
    <t>else</t>
  </si>
  <si>
    <t>(|y&gt;1|)</t>
  </si>
  <si>
    <t>x=x+2</t>
  </si>
  <si>
    <t>(|T ^ (x&lt;=0)|)</t>
  </si>
  <si>
    <t>(|x%2!=0|)</t>
  </si>
  <si>
    <t>Compo</t>
  </si>
  <si>
    <t>If-st</t>
  </si>
  <si>
    <t>(|y=0!|)</t>
  </si>
  <si>
    <t>y=1</t>
  </si>
  <si>
    <t>if (x &gt; y) {</t>
  </si>
  <si>
    <t>(|(x&gt;y)|)</t>
  </si>
  <si>
    <t>z=0</t>
  </si>
  <si>
    <t>(|y=min(x,y)|)</t>
  </si>
  <si>
    <t>Implies</t>
  </si>
  <si>
    <t>(|y=z!|)</t>
  </si>
  <si>
    <t>z = y;</t>
  </si>
  <si>
    <t>(|z=min(x,y)|)</t>
  </si>
  <si>
    <t>Assigment</t>
  </si>
  <si>
    <t>while(z!=x)</t>
  </si>
  <si>
    <t>{</t>
  </si>
  <si>
    <t>} else {</t>
  </si>
  <si>
    <t>(|y=z! ^ (z=/=x)|)</t>
  </si>
  <si>
    <t xml:space="preserve">partial-while </t>
  </si>
  <si>
    <t>(|(x&lt;=y)|)</t>
  </si>
  <si>
    <t>(|y=(z+1-1)!| ^ (z=/=x))</t>
  </si>
  <si>
    <t>(|x=min(x,y)|)</t>
  </si>
  <si>
    <t>z=z+1</t>
  </si>
  <si>
    <t>z = x;</t>
  </si>
  <si>
    <t>(|y*z=(z-1)!*z   ^  (z-1=/=x)|)</t>
  </si>
  <si>
    <t>y=z*y</t>
  </si>
  <si>
    <t>}</t>
  </si>
  <si>
    <t>(|y=z! ^(z=x)|)</t>
  </si>
  <si>
    <t>while(a!=b)</t>
  </si>
  <si>
    <t>(a=GCD(a,b)^|a!=b|)</t>
  </si>
  <si>
    <t>if(a&gt;b)</t>
  </si>
  <si>
    <t>(|fi^a&gt;b^a!=b|)</t>
  </si>
  <si>
    <t>(|GCD(a,b)^a&gt;b^a!=b|)</t>
  </si>
  <si>
    <t>(|fi^a&gt;b|)</t>
  </si>
  <si>
    <t>(|GCD(a,b)^a&gt;b|)</t>
  </si>
  <si>
    <t>a=a-b</t>
  </si>
  <si>
    <t>(|a-b&gt;b|)</t>
  </si>
  <si>
    <t>(|a-b=GCD(a-b,b)^a-b&gt;b|)</t>
  </si>
  <si>
    <t>(|fi^a&lt;=b^a!=b|)</t>
  </si>
  <si>
    <t>(|GCD(a,b)^a&lt;=b^a!=b|)</t>
  </si>
  <si>
    <t>(|fi^a&lt;b|)</t>
  </si>
  <si>
    <t>(|GCD(a,b)^a&lt;b|)</t>
  </si>
  <si>
    <t>b=b-a</t>
  </si>
  <si>
    <t>(|a&lt;b-a|)</t>
  </si>
  <si>
    <t>(|a=GCD(a,b-a)^a&lt;b-a|)</t>
  </si>
  <si>
    <t>(a%b=0^(a=b))</t>
  </si>
  <si>
    <t>(|a%b=0^(a=b)|)</t>
  </si>
  <si>
    <t>(|a=b=GCD(a,b)|</t>
  </si>
  <si>
    <t>(|x&gt;=0|)</t>
  </si>
  <si>
    <t>(|1=x!/x!  ^  x&gt;=0|)</t>
  </si>
  <si>
    <t>implied</t>
  </si>
  <si>
    <t>(|inv1(a[0],1) ^ inv2(a[0],1)|)</t>
  </si>
  <si>
    <t>a=x</t>
  </si>
  <si>
    <t>k=1</t>
  </si>
  <si>
    <t>(|1=x!/a!  ^  a&gt;=0|)</t>
  </si>
  <si>
    <t>assignment</t>
  </si>
  <si>
    <t>(|inv1(a[0],k) ^ inv2(a[0],k)|)</t>
  </si>
  <si>
    <t>t=a[0]</t>
  </si>
  <si>
    <t>(|y=x!/a!  ^  a&gt;=0|)</t>
  </si>
  <si>
    <t>(|inv1(a[0],k) ^ inv2(t,k)|)</t>
  </si>
  <si>
    <t>while(a&gt;0){</t>
  </si>
  <si>
    <t>s=a[0]</t>
  </si>
  <si>
    <t>(|y=x!/a! ^ a&gt;0 ^ a&gt;=0|)</t>
  </si>
  <si>
    <t>invariant</t>
  </si>
  <si>
    <t>(|inv1(s,k) ^ inv2(t,k)|)</t>
  </si>
  <si>
    <t>(|y*a=x!/(a-1)! ^ (a-1)&gt;=0|)</t>
  </si>
  <si>
    <t>while(k!=n){</t>
  </si>
  <si>
    <t>y=y*a</t>
  </si>
  <si>
    <t>(|inv1(s,k) ^ inv2(t,k) ^ k!=n|)</t>
  </si>
  <si>
    <t>(|y=x!/(a-1)! ^ (a-1)&gt;=0|)</t>
  </si>
  <si>
    <t>(|inv1(min(s,min(t+a[k],a[k])),k+1) ^
  inv2(min(t+a[k],a[k],k+1)|)</t>
  </si>
  <si>
    <t>a=a-1</t>
  </si>
  <si>
    <t>t=min(t+a[k],a[k])</t>
  </si>
  <si>
    <t>(|y=x!/a! ^ a&gt;=0|)</t>
  </si>
  <si>
    <t>(|inv1(min(s,t),k+1) ^ inv2(t,k+1)|)</t>
  </si>
  <si>
    <t>s=min(s,t)</t>
  </si>
  <si>
    <t>(|y=x!/a! ^ a&lt;=0  ^ a&gt;=0|)</t>
  </si>
  <si>
    <t>partial-while</t>
  </si>
  <si>
    <t>(|inv1(s,k+1) ^ inv2(t,k+1)|)</t>
  </si>
  <si>
    <t>(|y=x!/a! ^ a=0|)</t>
  </si>
  <si>
    <t>k=k+1</t>
  </si>
  <si>
    <t>(|inv1(s,k) ^ inv2(t,k) ^ k=n|)</t>
  </si>
  <si>
    <t>(|inv1(s,n)|)</t>
  </si>
  <si>
    <t>t</t>
  </si>
  <si>
    <t>s</t>
  </si>
  <si>
    <t>(|1=fibo(2) ^ 1=fibo(1)|)</t>
  </si>
  <si>
    <t>(|a[0]=Fmin(a,1)|)</t>
  </si>
  <si>
    <t>k=2</t>
  </si>
  <si>
    <t>(|1=fibo(k) ^ 1=fibo(k-1)|)</t>
  </si>
  <si>
    <t>(|a[0]=Fmin(a,k)|)</t>
  </si>
  <si>
    <t>f0=1</t>
  </si>
  <si>
    <t>min=a[0]</t>
  </si>
  <si>
    <t>(|1=fibo(k) ^ f0=fibo(k-1)|)</t>
  </si>
  <si>
    <t>(|min=Fmin(a,k)|)</t>
  </si>
  <si>
    <t>f1=1</t>
  </si>
  <si>
    <t>(|f1=fibo(k) ^ f0=fibo(k-1)|)</t>
  </si>
  <si>
    <t>(|min=Fmin(a,k) ^ k!=n|)</t>
  </si>
  <si>
    <t>if(a[k]&lt;min){</t>
  </si>
  <si>
    <t>(|f1=fibo(k) ^ f0=fibo(k-1) ^ k!=n|)</t>
  </si>
  <si>
    <t>(|min=Fmin(a,k) ^ k!=n ^ a[k]&lt;min|)</t>
  </si>
  <si>
    <t>(|f0+f1=fibo(k+1) ^ f1=fibo(k)|)</t>
  </si>
  <si>
    <t>(|a[k]=Fmin(a,k+1)|)</t>
  </si>
  <si>
    <t>temp=f0+f1</t>
  </si>
  <si>
    <t>min=a[k]</t>
  </si>
  <si>
    <t>(|temp=fibo(k+1) ^ f1=fibo(k)|)</t>
  </si>
  <si>
    <t>(|min=Fmin(a,k+1)|)</t>
  </si>
  <si>
    <t>f0=f1;</t>
  </si>
  <si>
    <t>(|temp=fibo(k+1) ^ f0=fibo(k)|)</t>
  </si>
  <si>
    <t>else{</t>
  </si>
  <si>
    <t>f1=temp;</t>
  </si>
  <si>
    <t>(|min=Fmin(a,k) ^ k!=n ^ a[k]&gt;=min|)</t>
  </si>
  <si>
    <t>(|f1=fibo(k+1) ^ f0=fibo(k)|)</t>
  </si>
  <si>
    <t>min=min</t>
  </si>
  <si>
    <t>(|f1=fibo(k) ^ f0=fibo(k-1) ^ k=n|)</t>
  </si>
  <si>
    <t>(|f1=fibo(n)|)</t>
  </si>
  <si>
    <t>(|min=Fmin(a,k) ^ k=n|)</t>
  </si>
  <si>
    <t>(|min=Fmin(a,n)|)</t>
  </si>
  <si>
    <t>(|GCD(A,B)=GCD(A,B)|)</t>
  </si>
  <si>
    <t>Implied</t>
  </si>
  <si>
    <t>a=A</t>
  </si>
  <si>
    <t>(|GCD(a,B)=GCD(A,B)|)</t>
  </si>
  <si>
    <t>b=B</t>
  </si>
  <si>
    <t>(|GCD(a,b)=GCD(A,B)|)</t>
  </si>
  <si>
    <t>(|GCD(a,b)=GCD(A,B) ^ a!=b|)</t>
  </si>
  <si>
    <t>invar</t>
  </si>
  <si>
    <t>(|GCD(a,b)=GCD(A,B) ^ a&gt;b|)</t>
  </si>
  <si>
    <t>if-st</t>
  </si>
  <si>
    <t>(|GCD(a-b,b)=GCD(A,B)|)</t>
  </si>
  <si>
    <t>(|inv1(min(s,min(t+a[k],a[k])),k+1) ^ 
inv2(min(t+a[k],a[k]),k+1)|)</t>
  </si>
  <si>
    <t>(|GCD(a,b)=GCD(A,B) ^ a&lt;=b|)</t>
  </si>
  <si>
    <t>(|GCD(a,b-a)=GCD(A,B)|)</t>
  </si>
  <si>
    <t>par-while</t>
  </si>
  <si>
    <t>(|GCD(a,b)=GCD(A,B) ^ a=b|)</t>
  </si>
  <si>
    <t>(|a=b=GCD(A,B)|</t>
  </si>
  <si>
    <t>(|Sorted(a,0)|)</t>
  </si>
  <si>
    <t>(|1=x!/x! ^ x&gt;=0|)</t>
  </si>
  <si>
    <t>i=0</t>
  </si>
  <si>
    <t>a=x;</t>
  </si>
  <si>
    <t>(|Sorted(a,i)|)</t>
  </si>
  <si>
    <t>(|1=x!/a! ^ a&gt;=0|)</t>
  </si>
  <si>
    <t>while(i&lt;n-1){</t>
  </si>
  <si>
    <t>y=1;</t>
  </si>
  <si>
    <t>(|Sorted(a,i) ^ i&lt;n-1|^a[i]=min_a(i+1-&gt;i+1))</t>
  </si>
  <si>
    <t>(|a[i]=min_a(i+1-&gt;i+1)|)</t>
  </si>
  <si>
    <t>j=i+1;</t>
  </si>
  <si>
    <t>Invar</t>
  </si>
  <si>
    <t>(|a[i]=min_a(i+1-&gt;j)|)</t>
  </si>
  <si>
    <t>(|y*a=x!/(a-1)! ^ a-1&gt;=0|)</t>
  </si>
  <si>
    <t>min=i;</t>
  </si>
  <si>
    <t>(|a[min]=min_a(i+1-&gt;j)|)</t>
  </si>
  <si>
    <t>(|y=x!/(a-1)! ^ a-1&gt;=0|)</t>
  </si>
  <si>
    <t>while(j&lt;n){</t>
  </si>
  <si>
    <t>(|a[min]=min_a(i+1-&gt;j)| j&lt;n)</t>
  </si>
  <si>
    <t>if(a[j]&lt;a[min]){</t>
  </si>
  <si>
    <t>(|y=x!/a! ^ a&lt;=0 ^ a&gt;=0|)</t>
  </si>
  <si>
    <t>Par-while</t>
  </si>
  <si>
    <t>min=j;</t>
  </si>
  <si>
    <t>j=j+1</t>
  </si>
  <si>
    <t>isprime</t>
  </si>
  <si>
    <t>(|a[min]=min_a(i+1-&gt;j)| j&gt;=n)</t>
  </si>
  <si>
    <t>tự đi x&gt;2 xuống</t>
  </si>
  <si>
    <t>(|true=r.v-&gt;isprime(x,1)|)</t>
  </si>
  <si>
    <t>(|Sorted(a,i+1)|)</t>
  </si>
  <si>
    <t>(|for all t&lt;q&lt;i+1,a[t]&lt;a[q]&lt;temp|)</t>
  </si>
  <si>
    <t>(|true=r.v-&gt;isprime(x,k-1)|)</t>
  </si>
  <si>
    <t>z=true</t>
  </si>
  <si>
    <t>temp=a[i];</t>
  </si>
  <si>
    <t>(|z=r.v-&gt;isprime(x,k-1)|)</t>
  </si>
  <si>
    <t>(|for all t&lt;q&lt;i+1,a[t]&lt;a[q]&lt;a[i]|)</t>
  </si>
  <si>
    <t>while(k&lt;x){</t>
  </si>
  <si>
    <t>a[i]=a[min];</t>
  </si>
  <si>
    <t>(|z=r.v-&gt;isprime(x,k-1) ^k&lt;x|)</t>
  </si>
  <si>
    <t>(|for all t&lt;q&lt;i+1,a[t]&lt;a[q]&lt;a[min]|)</t>
  </si>
  <si>
    <t>if(x%k==0){</t>
  </si>
  <si>
    <t>a[min]=temp;</t>
  </si>
  <si>
    <t>(|z=r.v-&gt;isprime(x,k-1) ^ x%k==0|)</t>
  </si>
  <si>
    <t>(|false=r.v-&gt;isprime(x,k)|)</t>
  </si>
  <si>
    <t>i=i+1;</t>
  </si>
  <si>
    <t>z=false</t>
  </si>
  <si>
    <t>(|z=r.v-&gt;isprime(x,k)|)</t>
  </si>
  <si>
    <t>(|for all t&lt;q&lt;i,a[t]&lt;a[q]|)</t>
  </si>
  <si>
    <t>(|Sorted(a,i) ^ i&gt;=n-1|)</t>
  </si>
  <si>
    <t>(|for all t&lt;q&lt;i,a[t]&lt;a[q] ^ a[i]&lt;a[p] for all i&lt;p&lt;n|)</t>
  </si>
  <si>
    <t>(|z=r.v-&gt;isprime(x,k-1) ^ k&gt;=x|)</t>
  </si>
  <si>
    <t>(|Selected(a,n)|)</t>
  </si>
  <si>
    <t>(|for all t&lt;q&lt;n,a[t]&lt;a[q]|)</t>
  </si>
  <si>
    <t>(|z=r.v-&gt;isprime(x,x-1)|</t>
  </si>
  <si>
    <t>(|1=0!|)</t>
  </si>
  <si>
    <t>(|1=0! ^ x&gt;=0|)</t>
  </si>
  <si>
    <t>(|y=0! ^ 0&lt;=x-0| )</t>
  </si>
  <si>
    <t>(|y=z! ^ 0&lt;=x-z|)</t>
  </si>
  <si>
    <t>(|y=z! ^(z!=x)|)</t>
  </si>
  <si>
    <t>(|y=z! ^(z!=x) ^ 0&lt;=x-z=E0|)</t>
  </si>
  <si>
    <t>(|y*(z+1)=(z+1)!|)</t>
  </si>
  <si>
    <t>(|y*(z+1)=(z+1)! ^ 0&lt;=x-(z+1)&lt;E0|)</t>
  </si>
  <si>
    <t>(|y*z=z!|)</t>
  </si>
  <si>
    <t>(|y*z=z! ^ 0&lt;=x-z&lt;E0|)</t>
  </si>
  <si>
    <t>(|y=z! ^ 0&lt;=x-z&lt;E0|)</t>
  </si>
  <si>
    <t xml:space="preserve">total-while </t>
  </si>
  <si>
    <t>(|y&gt;=0|)</t>
  </si>
  <si>
    <t>(|0=x*0 ^ y&gt;=0|)</t>
  </si>
  <si>
    <t>(|0=x*0 ^ 0&lt;=y|)</t>
  </si>
  <si>
    <t>a=0</t>
  </si>
  <si>
    <t>(|0=x*a ^ y&gt;=a|)</t>
  </si>
  <si>
    <t>(|0=x*a ^ 0&lt;=y-0|)</t>
  </si>
  <si>
    <t>(|z=x*a ^ y&gt;=a|)</t>
  </si>
  <si>
    <t>(|z=x*a ^ 0&lt;=y-a|)</t>
  </si>
  <si>
    <t>while(a!=y){</t>
  </si>
  <si>
    <t>(|z=x*a ^ a!=y ^ y&gt;=a|)</t>
  </si>
  <si>
    <t>(|z=x*a ^ a!=y ^ 0&lt;=y-a=E0|)</t>
  </si>
  <si>
    <t>(|z+x=x*(a+1) ^ y&gt;=a|)</t>
  </si>
  <si>
    <t>(|z+x=x*(a+1) ^ 0&lt;=y-(a+1)&lt;E0|)</t>
  </si>
  <si>
    <t>z=z+x</t>
  </si>
  <si>
    <t>(|z=x*(a+1) ^ y&gt;=a|)</t>
  </si>
  <si>
    <t>(|z=x*(a+1) ^ 0&lt;=y-(a+1)&lt;E0|)</t>
  </si>
  <si>
    <t>a=a+1</t>
  </si>
  <si>
    <t>(|z=x*a ^ y&gt;=(a-1)|)</t>
  </si>
  <si>
    <t>(|z=x*a ^ 0&lt;=y-a&lt;E0|)</t>
  </si>
  <si>
    <t>(|z=x*a ^ a=y|)</t>
  </si>
  <si>
    <t>total-while</t>
  </si>
  <si>
    <t>(|z=x*a ^ a=y ^ y&gt;=(a-1)|)</t>
  </si>
  <si>
    <t>(|z=x*y|)</t>
  </si>
  <si>
    <t>(|n&gt;0|)</t>
  </si>
  <si>
    <t>(|a[0]=max(A,1) ^ n&gt;=1|)</t>
  </si>
  <si>
    <t>(|a[0]=max(A,1) ^ n-1&gt;=0|)</t>
  </si>
  <si>
    <t>y=a[0]</t>
  </si>
  <si>
    <t>(|y=max(A,1) ^ 1&lt;=n|)</t>
  </si>
  <si>
    <t>(|y=max(A,1) ^ n-1&gt;=0|)</t>
  </si>
  <si>
    <t>i=1</t>
  </si>
  <si>
    <t>(|y=max(A,i) ^ i&lt;=n|)</t>
  </si>
  <si>
    <t>(|y=max(A,i) ^ n-i&gt;=0|)</t>
  </si>
  <si>
    <t>while(i&lt;n){</t>
  </si>
  <si>
    <t>(|y=max(A,i) ^ i&lt;n ^ i+1&lt;=n|)</t>
  </si>
  <si>
    <t>(|y=max(A,i) ^ i&lt;n ^ E0=n-i&gt;=0|)</t>
  </si>
  <si>
    <t>if(a[i]&gt;y){</t>
  </si>
  <si>
    <t>(|y=max(A,i) ^ a[i]&gt;y|)</t>
  </si>
  <si>
    <t>(|y=max(A,i) ^ a[i]&gt;y ^ E0=n-i&gt;=0|)</t>
  </si>
  <si>
    <t>(|a[i]=max(A,i+1) ^ i+1&lt;=n|)</t>
  </si>
  <si>
    <t>(|a[i]=max(A,i+1) ^ E0&gt;n-(i+1)&gt;=0|)</t>
  </si>
  <si>
    <t>y=a[i]</t>
  </si>
  <si>
    <t>(|y=max(A,i+1) ^ i+1&lt;=n|)</t>
  </si>
  <si>
    <t>(|y=max(A,i+1) ^ E0&gt;n-(i+1)&gt;=0|)</t>
  </si>
  <si>
    <t>(|y=max(A,i) ^ a[i]&lt;=y|)</t>
  </si>
  <si>
    <t>(|y=max(A,i) ^ a[i]&lt;=y ^ E0=n-i&gt;=0|)</t>
  </si>
  <si>
    <t>i=i+1</t>
  </si>
  <si>
    <t>(|y=max(A,i) ^ E0&gt;n-i&gt;=0|)</t>
  </si>
  <si>
    <t>(|y=max(A,i) ^ i&gt;=n ^ i&lt;=n|)</t>
  </si>
  <si>
    <t>(|y=max(A,i) ^ i&gt;=n ^ n-i&gt;=0|)</t>
  </si>
  <si>
    <t>(|y=max(A,n)|)</t>
  </si>
  <si>
    <t>(|0=0 ^ 0&lt;=x-0|)</t>
  </si>
  <si>
    <t>y = 0;</t>
  </si>
  <si>
    <t>(|y=y ^ 0&lt;=x-y|)</t>
  </si>
  <si>
    <t>while (y != x) {</t>
  </si>
  <si>
    <t>(|y=y ^ y=x ^ 0&lt;=x-y=E0|)</t>
  </si>
  <si>
    <t>(|y+1=y+1 ^ 0&lt;=x-(y+1)&lt;E0|)</t>
  </si>
  <si>
    <t>y = y + 1;</t>
  </si>
  <si>
    <t>(|y=y ^ 0&lt;=x-y&lt;E0|)</t>
  </si>
  <si>
    <t>(|y=y ^ y=x|)</t>
  </si>
  <si>
    <t>(|x=y|)</t>
  </si>
  <si>
    <t>(fi)</t>
  </si>
  <si>
    <t>C1</t>
  </si>
  <si>
    <t>(theta)</t>
  </si>
  <si>
    <t>C2</t>
  </si>
  <si>
    <t>((∃i,j (0 ≤ i ≤ j &lt; k ∧ s = Sij) ^ inv2(t,k) )</t>
  </si>
  <si>
    <t>---&gt;</t>
  </si>
  <si>
    <t>C1;C2</t>
  </si>
  <si>
    <t>(|x+1&gt;1|)</t>
  </si>
  <si>
    <t>=&gt;</t>
  </si>
  <si>
    <t>(|x&gt;3|)</t>
  </si>
  <si>
    <t/>
  </si>
  <si>
    <t>Composition</t>
  </si>
  <si>
    <t>x=x+1;x=x+2</t>
  </si>
  <si>
    <t>(|4&gt;5|)</t>
  </si>
  <si>
    <t>x=4</t>
  </si>
  <si>
    <t>(|x&gt;5|)</t>
  </si>
  <si>
    <t>(|x&gt;0^y&gt;0|)</t>
  </si>
  <si>
    <t>z=x+y</t>
  </si>
  <si>
    <t>(|z&gt;0|)</t>
  </si>
  <si>
    <t>(|x&gt;0^y&lt;=0|)</t>
  </si>
  <si>
    <t>z=x-y</t>
  </si>
  <si>
    <t>If</t>
  </si>
  <si>
    <t>if(y&gt;0)</t>
  </si>
  <si>
    <t>(|x&gt;0 ^ y&gt;0|)</t>
  </si>
  <si>
    <t>x=y</t>
  </si>
  <si>
    <t>while(y&gt;0){x=y}</t>
  </si>
  <si>
    <t>x=5</t>
  </si>
  <si>
    <t>(|x=5|)</t>
  </si>
  <si>
    <t>(|y&gt;0|)</t>
  </si>
  <si>
    <t>x=y+5</t>
  </si>
  <si>
    <t>(|x&gt;4|)</t>
  </si>
  <si>
    <t>(|x&lt;5|)</t>
  </si>
  <si>
    <t>while(z!=x){</t>
  </si>
  <si>
    <t>(|y=z!^z=/x|)</t>
  </si>
  <si>
    <t>(|y=(z+1)!^(z+1)=/x|)</t>
  </si>
  <si>
    <t>y=y*z</t>
  </si>
  <si>
    <t>(|y=z!^z=x|)</t>
  </si>
  <si>
    <t>(y=x!)</t>
  </si>
  <si>
    <t>(|x&gt;0 ^ y&gt;0 ^ 0&lt;=E=E0|)</t>
  </si>
  <si>
    <t>(|x&gt;0 ^ 0&lt;=E&lt;E0|)</t>
  </si>
  <si>
    <t>(|x&gt;0  ^ 0&lt;=E|)</t>
  </si>
  <si>
    <t>(|T^(x&gt;y)|)</t>
  </si>
  <si>
    <t>assigment</t>
  </si>
  <si>
    <t>(|T^(x&lt;=y)|)</t>
  </si>
  <si>
    <t>(|z=min(x,y|)</t>
  </si>
  <si>
    <t>(|n&gt;=0|)</t>
  </si>
  <si>
    <t>(|y=0! ^ 0&lt;=x|)</t>
  </si>
  <si>
    <t>(|0=sum(0,0) ^ 0&lt;=n|)</t>
  </si>
  <si>
    <t>y=0</t>
  </si>
  <si>
    <t>(|y=0! ^ 0&lt;=x-0|)</t>
  </si>
  <si>
    <t>(|y=sum(0,0) ^ 0&lt;=n-0|)</t>
  </si>
  <si>
    <t>(|y=sum(0,i) ^ 0&lt;=n-i|)</t>
  </si>
  <si>
    <t>while(n-i&gt;0)</t>
  </si>
  <si>
    <t>(|y=z! ^ (z!=x) ^ 0&lt;=x-z=E0|)</t>
  </si>
  <si>
    <t>(|y=sum(0,i) ^ (i&lt;n) ^ 0&lt;=n-i=E0|)</t>
  </si>
  <si>
    <t>(|y*(z+1)=(z+1)! ^0&lt;=x-(z+1)&lt;=E0|)</t>
  </si>
  <si>
    <t>(|y+(i+1)=sum(0,i+1) ^ 0&lt;=n-(i+1)&lt;E0|)</t>
  </si>
  <si>
    <t xml:space="preserve">(|y*z=z! ^ 0&lt;=x-z&lt;=E0|) </t>
  </si>
  <si>
    <t>(|y+i=sum(0,i) ^ 0&lt;=n-i&lt;E0|)</t>
  </si>
  <si>
    <t>y=y+i</t>
  </si>
  <si>
    <t>(|y=sum(0,i) ^ 0&lt;=n-i&lt;E0|)</t>
  </si>
  <si>
    <t>(|y=sum(0,i) ^ (i&gt;=n) ^ (0&lt;=n-i)|)</t>
  </si>
  <si>
    <t>(|y=sum(0,i) ^ (i&gt;=n) ^ (i&lt;=n)|)</t>
  </si>
  <si>
    <t>(|y=sum(0,n)|)</t>
  </si>
  <si>
    <t>(|true=rv&lt;--&gt;checksame(A,0,0,n) ^n&gt;0|)</t>
  </si>
  <si>
    <t>(|z=rv&lt;--&gt;checksame(A,0,0,n) ^n&gt;0|)</t>
  </si>
  <si>
    <t>(|z=rv&lt;--&gt;checksame(A,0,i,n) ^ n&gt;i|)</t>
  </si>
  <si>
    <t>(|z=rv&lt;--&gt;checksame(A,0,i,n)  ^ i&lt;n-1 ^ n&gt;i|)</t>
  </si>
  <si>
    <t>(|z=rv&lt;--&gt;checksame(A,0,i,n)^rv&lt;---&gt;same(A,i,i+1,j,n) ^  n&lt;=i+2 ^i&lt;=n-2|)</t>
  </si>
  <si>
    <t>j=i+1</t>
  </si>
  <si>
    <t>(|z=rv&lt;--&gt;checksame(A,0,i,n)^rv&lt;---&gt;same(A,i,i+1,j,n) ^  n&lt;=j+1 ^i&lt;=n-2|)</t>
  </si>
  <si>
    <t>(|z=rv&lt;--&gt;checksame(A,0,i,n)^rv&lt;---&gt;same(A,i,i+1,j,n) ^ j&lt;n ^  n&lt;=j+1 ^i&lt;=n-2|)</t>
  </si>
  <si>
    <t>if(a[i]=a[j]){</t>
  </si>
  <si>
    <t>(|z=rv&lt;--&gt;checksame(A,0,i,n)^rv&lt;---&gt;same(A,i,i+1,j,n) ^ a[i]==a[i] ^ j&lt;n ^  n&lt;=j+1 ^i&lt;=n-2|)</t>
  </si>
  <si>
    <t>(|false=rv&lt;--&gt;checksame(A,0,i,n)^rv&lt;---&gt;same(A,i,i+1,j,n) ^ j&lt;n ^  n&lt;=j+1 ^i&lt;=n-2|)</t>
  </si>
  <si>
    <t>(|z=rv&lt;--&gt;checksame(A,0,i,n)^rv&lt;---&gt;same(A,i,i+1,j+1,n) ^  n&lt;=j+1 ^i&lt;=n-2|)</t>
  </si>
  <si>
    <t>(|z=rv&lt;--&gt;checksame(A,0,i,n)^rv&lt;---&gt;same(A,i,i+1,j,n) ^ a[i]!=a[j] ^ j&lt;n ^  n&lt;=j+1 ^ i&lt;=n-2|)</t>
  </si>
  <si>
    <t>(|z=rv&lt;--&gt;checksame(A,0,i,n)^rv&lt;---&gt;same(A,i,i+1,j,n) ^  n&lt;=j ^i&lt;=n-2|)</t>
  </si>
  <si>
    <t>(|z=rv&lt;--&gt;checksame(A,0,i,n)^rv&lt;---&gt;same(A,i,i+1,j,n) ^ j&gt;=n ^ n&lt;=j ^ i&lt;=n-2|)</t>
  </si>
  <si>
    <t>(|z=rv&lt;--&gt;checksame(A,0,i,n)^rv&lt;---&gt;same(A,i,i+1,n,n) ^ i&lt;=n-2|)</t>
  </si>
  <si>
    <t>(|z=rv&lt;--&gt;checksame(A,0,i+1,n)^rv&lt;---&gt;same(A,i,i+1,n,n)^ i&lt;=n-2|)</t>
  </si>
  <si>
    <t>(|z=rv&lt;--&gt;checksame(A,0,i,n)^rv&lt;---&gt;same(A,i-1,i,n,n) ^i&lt;=n-1|)</t>
  </si>
  <si>
    <t>(|z=rv&lt;--&gt;checksame(A,0,i,n) ^ i&lt;=n-1|)</t>
  </si>
  <si>
    <t>(|checksame(A,0,i,n) ^ i&gt;=n-1 ^ i&lt;=n-1|)</t>
  </si>
  <si>
    <t>(|z=rv&lt;---&gt;checksame(A,0,n-1,n)|)</t>
  </si>
  <si>
    <t>checksame(A,0,n-1,n) = forall p,q , 0&lt;p,q&lt;=n-1 , a[p]!=a[q]</t>
  </si>
  <si>
    <t>same(A,i,i+1,j,n)= forall p , i+1&lt;p&lt;j, a[i]!=a[p]</t>
  </si>
  <si>
    <t>if(a&gt;0)</t>
  </si>
  <si>
    <t>(|a&gt;0|)</t>
  </si>
  <si>
    <t>(|a&gt;=0|)</t>
  </si>
  <si>
    <t>h</t>
  </si>
  <si>
    <t>a=a;</t>
  </si>
  <si>
    <t>x h</t>
  </si>
  <si>
    <t>(|a&lt;=0|)</t>
  </si>
  <si>
    <t>(|-a&gt;=0|)</t>
  </si>
  <si>
    <t>a=-a;</t>
  </si>
  <si>
    <t>(|-a&lt;=0|)</t>
  </si>
  <si>
    <t>if(a&gt;b){</t>
  </si>
  <si>
    <t>(|a&gt;b|)</t>
  </si>
  <si>
    <t>(|a=max(a,b)|)</t>
  </si>
  <si>
    <t>z=a</t>
  </si>
  <si>
    <t>(|z=max(a,b)|)</t>
  </si>
  <si>
    <t>(|y=z! ^ z!=x|)</t>
  </si>
  <si>
    <t>(|a&lt;=b|)</t>
  </si>
  <si>
    <t>(|b=max(a,b)|)</t>
  </si>
  <si>
    <t>z=b</t>
  </si>
  <si>
    <t>(|y=z!  ^  z=x|)</t>
  </si>
  <si>
    <t>partial while</t>
  </si>
  <si>
    <t>(|x ≥ 0|)</t>
  </si>
  <si>
    <t>(|x=x|)</t>
  </si>
  <si>
    <t>a = x;</t>
  </si>
  <si>
    <t>(|a=x-0|)</t>
  </si>
  <si>
    <t>(|a=x-y|)</t>
  </si>
  <si>
    <t>while (a != 0) {</t>
  </si>
  <si>
    <t>(|a=x-y ^ a!=0|)</t>
  </si>
  <si>
    <t>(|a=x-y+1|)</t>
  </si>
  <si>
    <t>(|a-1=x-y|)</t>
  </si>
  <si>
    <t>a = a - 1;</t>
  </si>
  <si>
    <t>(|(a=x-y) ^ a=0|)</t>
  </si>
  <si>
    <t>(|x = y|)</t>
  </si>
  <si>
    <t>(|a=x*0|)</t>
  </si>
  <si>
    <t>a = 0;</t>
  </si>
  <si>
    <t>(|0=x*a|)</t>
  </si>
  <si>
    <t>(|z=x*a|)</t>
  </si>
  <si>
    <t>while (a != y){</t>
  </si>
  <si>
    <t>(|z=x*a  ^  a!=y|)</t>
  </si>
  <si>
    <t>inv</t>
  </si>
  <si>
    <t>z = z + x;</t>
  </si>
  <si>
    <t>(|z+x=x*a|)</t>
  </si>
  <si>
    <t>a = a + 1;</t>
  </si>
  <si>
    <t>(|z+x=x*(a+1)|)</t>
  </si>
  <si>
    <t>(|z=x*a  ^  a=y|)</t>
  </si>
  <si>
    <t>(|(∃i,j (0 ≤ i ≤ j &lt; 1 ∧ a[0] = Sij) ^ inv2(a[0],1) |)</t>
  </si>
  <si>
    <t>(|(∃i,j (0 ≤ i ≤ j &lt; k ∧ a[0] = Sij) ^ inv2(a[0],k) |)</t>
  </si>
  <si>
    <t>(|(∃i,j (0 ≤ i ≤ j &lt; k ∧ a[0] = Sij) ^ inv2(t,k) |)</t>
  </si>
  <si>
    <t>(|(∃i,j (0 ≤ i ≤ j &lt; k ∧ s = Sij) ^ inv2(t,k) |)</t>
  </si>
  <si>
    <t>(|(∃i,j (0 ≤ i ≤ j &lt; k ∧ s = Sij) ^ inv2(t,k)  ^ k!=n|)</t>
  </si>
  <si>
    <t>(|(∃i,j (0 ≤ i ≤ j &lt; k+1 ∧ min(s,min(t+a[k],a[k])) = Sij) ^ inv2(min(t+a[k],a[k]),k+1) |)</t>
  </si>
  <si>
    <t>(|(∃i,j (0 ≤ i ≤ j &lt; k+1 ∧ min(s,t) = Sij) ^ inv2(t,k+1) |)</t>
  </si>
  <si>
    <t>(|(∃i,j (0 ≤ i ≤ j &lt; k+1 ∧ s = Sij) ^ inv2(t,k+1) |)</t>
  </si>
  <si>
    <t>(|(∃i,j (0 ≤ i ≤ j &lt; k ∧ s = Sij) ^ inv2(t,k) ^ k=n|)</t>
  </si>
  <si>
    <t>(|∃i,j (0 ≤ i ≤ j &lt; n ∧ s = Sij)|)</t>
  </si>
  <si>
    <t>(|0=Sum(A[k],A[k]%2==0,for all k,0&lt;=k&lt;0) ^ n&gt;0  |)</t>
  </si>
  <si>
    <t>S=0;</t>
  </si>
  <si>
    <t>(|S=Sum(A[k],A[k]%2==0,for all k,0&lt;=k&lt;0) ^ n&gt;0)</t>
  </si>
  <si>
    <t>i=0;</t>
  </si>
  <si>
    <t>(|S=Sum(A[k],A[k]%2==0,for all k,0&lt;=k&lt;i) ^ n&gt;i)</t>
  </si>
  <si>
    <t>(|S=Sum(A[k],A[k]%2==0,for all k,0&lt;=k&lt;i) ^ i&lt;n ^ n&gt;i|)</t>
  </si>
  <si>
    <t>if(A[i]%2==0){</t>
  </si>
  <si>
    <t>(|S=Sum(A[k],A[k]%2==0,for all k,0&lt;=k&lt;i) ^ i&lt;n ^ A[i]%2==0 ^n&gt;i|)</t>
  </si>
  <si>
    <t>(|S+A[i]=Sum(A[k],A[k]%2==0,for all k,0&lt;=k&lt;i+1) ^n&gt;i|)</t>
  </si>
  <si>
    <t>S=S+A[i];</t>
  </si>
  <si>
    <t>(|S=Sum(A[k],A[k]%2==0,for all k,0&lt;=k&lt;i+1) ^n&gt;i|)</t>
  </si>
  <si>
    <t>(|S=Sum(A[k],A[k]%2==0,for all k,0&lt;=k&lt;i+1) ^ n&gt;i|)</t>
  </si>
  <si>
    <t>(|S=Sum(A[k],A[k]%2==0,for all k,0&lt;=k&lt;i) ^ n&gt;i-1|)</t>
  </si>
  <si>
    <t>(|S=Sum(A[k],A[k]%2==0,for all k,0&lt;=k&lt;i) ^ i&gt;=n ^ n&gt;i-1|)</t>
  </si>
  <si>
    <t>(|S=Sum(A[k],A[k]%2==0,for all k,0&lt;=k&lt;n)|)</t>
  </si>
  <si>
    <t>(|S=Sum(A,n,A[k]%2==0)|)</t>
  </si>
  <si>
    <t>(|0=Count(A,0,A%2==0) ^ n&gt;0|)</t>
  </si>
  <si>
    <t>S=0</t>
  </si>
  <si>
    <t>(|S=Count(A,0,A%2==0) ^ n&gt;0|)</t>
  </si>
  <si>
    <t>(|S=Count(A,i,A%2==0) ^ n&gt;i|)</t>
  </si>
  <si>
    <t>(|S=Count(A,i,A%2==0) ^ i&lt;n ^ n&gt;i|)</t>
  </si>
  <si>
    <t>(|S=Count(A,i,A%2==0) ^ i&lt;n ^ n&gt;i ^ A[i]%2==0|)</t>
  </si>
  <si>
    <t>(|S+1=Count(A,i+1,A%2==0) ^ n&gt;i|)</t>
  </si>
  <si>
    <t>S=S+1;</t>
  </si>
  <si>
    <t>(|S=Count(A,i+1,A%2==0) ^ n&gt;i|)</t>
  </si>
  <si>
    <t>(|S=Count(A,i,A%2==0) ^ i&lt;n ^ n&gt;i ^ A[i]%2!=0|)</t>
  </si>
  <si>
    <t>(|S=Count(A,i+1,A%2==0) ^n&gt;i|)</t>
  </si>
  <si>
    <t>(|S=Count(A,i,A%2==0) ^ n&gt;i-1|)</t>
  </si>
  <si>
    <t>(|S=Count(A,i,A%2==0) ^ i&gt;=n ^ n&gt;i-1|)</t>
  </si>
  <si>
    <t>(|S=Count(A,n,A%2==0)|)</t>
  </si>
  <si>
    <t>b</t>
  </si>
  <si>
    <t>(|f1=fibo(i) ^ f0=fibo(i-1) ^ i&lt;n|)</t>
  </si>
  <si>
    <t>temp=f0+f1;</t>
  </si>
  <si>
    <t>while(a!=b){</t>
  </si>
  <si>
    <t>f1=temp</t>
  </si>
  <si>
    <t>(|GCD(a,b)=GCD(A,B) ^ a!=b ^ a&gt;b|)</t>
  </si>
  <si>
    <t>i+=1</t>
  </si>
  <si>
    <t>a=a-b;</t>
  </si>
  <si>
    <t>(|GCD(a,b)=GCD(A,B) ^ a!=b ^ a&lt;=b|)</t>
  </si>
  <si>
    <t>b=b-a;</t>
  </si>
  <si>
    <t>(|a=b=GCD(A,B)|)</t>
  </si>
  <si>
    <t>(|A,B&gt;0|)</t>
  </si>
  <si>
    <t>(|1=0! ^ 0&lt;=x|)</t>
  </si>
  <si>
    <t>(|GCD(A,B)=GCD(A,B)| ^ 0&lt;=A+B-2GCD(A,B) ^A,B&gt;0)</t>
  </si>
  <si>
    <t>a-b</t>
  </si>
  <si>
    <t>a-b-b</t>
  </si>
  <si>
    <t>(|GCD(a,B)=GCD(A,B)| ^ 0&lt;=a+B-2GCD(A,B) ^a,B&gt;0)</t>
  </si>
  <si>
    <t>(|GCD(a,b)=GCD(A,B) ^ 0&lt;=a+b-2GCD(A,B) ^a,b&gt;0|)</t>
  </si>
  <si>
    <t>while(x-z!=0){</t>
  </si>
  <si>
    <t>(|GCD(a,b)=GCD(A,B) ^ a!=b ^ 0&lt;=a+b-2GCD(A,B)&lt;E0 ^ a,b&gt;0|)</t>
  </si>
  <si>
    <t>(|y=z! ^ z!=x ^ 0&lt;=x-z=E0|)</t>
  </si>
  <si>
    <t>(|GCD(a,b)=GCD(A,B) ^ a!=b ^ 0&lt;=a+b-2GCD(A,B)&lt;E0 ^ a,b&gt;0 ^ a&gt;b|)</t>
  </si>
  <si>
    <t>(|GCD(a,b)=GCD(A,B) ^ 0&lt;=a-2GCD(A,B)&lt;E0 ^ a,b&gt;0|)</t>
  </si>
  <si>
    <t>(|GCD(a,b)=GCD(A,B) ^ 0&lt;=a+b-2GCD(A,B)&lt;E0 ^ a,b&gt;0|)</t>
  </si>
  <si>
    <t>(|y=z! ^ x=z|)</t>
  </si>
  <si>
    <t>(|GCD(a,b)=GCD(A,B) ^ a!=b ^ 0&lt;=b-2GCD(A,B)&lt;E0| ^ a,b&gt;0 ^ a&lt;=b)</t>
  </si>
  <si>
    <t>(|GCD(a,b)=GCD(A,B) ^ 0&lt;=b-2GCD(A,B)&lt;E0 ^ a,b&gt;0|)</t>
  </si>
  <si>
    <t>(|GCD(a,b)=GCD(A,B) ^ 0&lt;=a+b-2GCD(A,B)&lt;E0| ^ a,b&gt;0|)</t>
  </si>
  <si>
    <t>(|GCD(a,b)=GCD(A,B) ^ a=b ^ a,b&gt;0|)</t>
  </si>
  <si>
    <t>(|0=x*0|)</t>
  </si>
  <si>
    <t>(|fi|)</t>
  </si>
  <si>
    <t>while (z != x) {</t>
  </si>
  <si>
    <t>while (a != y) {</t>
  </si>
  <si>
    <t>(|fi ^ a!=y|)</t>
  </si>
  <si>
    <t>(|z=x*a ^ a!=y|)</t>
  </si>
  <si>
    <t>z = z + 1;</t>
  </si>
  <si>
    <t>(|z=x*(a+1)|)</t>
  </si>
  <si>
    <t>y = y * z;</t>
  </si>
  <si>
    <t>(|z=x*y ^ a=y|)</t>
  </si>
  <si>
    <t>(|y=z! ^ z=x|)</t>
  </si>
  <si>
    <t>(|inv1(a[0],1)  ^ inv2(a[0],1)|)</t>
  </si>
  <si>
    <t>(|inv1(a[0],k)  ^ inv2(a[0],k)|)</t>
  </si>
  <si>
    <t>(|inv1(a[0],k)  ^ inv2(t,k)|)</t>
  </si>
  <si>
    <t>while(k!=n)</t>
  </si>
  <si>
    <t>(|inv1(s,k)| ^ inv2(t,k)|)</t>
  </si>
  <si>
    <t>(|fi ^ k!=n|)</t>
  </si>
  <si>
    <t>(|inv1(s,k) ^ inv2(t,k) ^k!=n| )</t>
  </si>
  <si>
    <t>(|inv1(min(s,t),k+1) ^ inv2(min(t+a[k],a[k]),k+1))</t>
  </si>
  <si>
    <t>(|inv1(min(s,t),k+1) ^ inv2(t,k))</t>
  </si>
  <si>
    <t>5</t>
  </si>
  <si>
    <t>3</t>
  </si>
  <si>
    <t>1</t>
  </si>
  <si>
    <t>4</t>
  </si>
  <si>
    <t>2</t>
  </si>
  <si>
    <t>(|fi ^ k=n|)</t>
  </si>
  <si>
    <t>(|inv1(s,k+1) ^ inv2(t,k+1))</t>
  </si>
  <si>
    <t>(|inv1(s,k) ^ inv2(t,k)| )</t>
  </si>
  <si>
    <t>(|n&gt;1|)</t>
  </si>
  <si>
    <t>(|1=fibo(1) ^ 1=fibo(0) ^ n&gt;1|)</t>
  </si>
  <si>
    <t>(|1=fibo(1) ^ f0=fibo(1-1) ^ n&gt;1|)</t>
  </si>
  <si>
    <t>(|f1=fibo(1) ^ f0=fibo(1-1) ^ n&gt;1|)</t>
  </si>
  <si>
    <t>a=1</t>
  </si>
  <si>
    <t>(|f1=fibo(a) ^ f0=fibo(a-1) ^ n&gt;a|)</t>
  </si>
  <si>
    <t>while(a&lt;n){</t>
  </si>
  <si>
    <t>f1</t>
  </si>
  <si>
    <t>(|f1=fibo(a) ^ f0=fibo(a-1) ^ a&lt;n ^ n&gt;a|)</t>
  </si>
  <si>
    <t>f0</t>
  </si>
  <si>
    <t>(|f0+f1=fibo(a+1) ^ f1=fibo(a) ^ n&gt;a|)</t>
  </si>
  <si>
    <t>(|temp=fibo(a+1) ^ f1=fibo(a) ^ n&gt;a|)</t>
  </si>
  <si>
    <t>f0=f1</t>
  </si>
  <si>
    <t>(|temp=fibo(a+1) ^ f0=fibo(a) ^ n&gt;a|)</t>
  </si>
  <si>
    <t>(|f1=fibo(a+1) ^ f0=fibo(a) ^ n&gt;a|)</t>
  </si>
  <si>
    <t>(|f1=fibo(a) ^ f0=fibo(a-1) ^ n&gt;a-1|)</t>
  </si>
  <si>
    <t>(|f1=fibo(a) ^ f0=fibo(a-1) ^ a&gt;=n ^ n&gt;a-1|)</t>
  </si>
  <si>
    <t>Invariant</t>
  </si>
  <si>
    <t>if(a&lt;b){</t>
  </si>
  <si>
    <t>(|GCD(a,b)=GCD(A,B) ^ a!=b ^ a&lt;b|)</t>
  </si>
  <si>
    <t>if-statement</t>
  </si>
  <si>
    <t>(|GCD(a,b)=GCD(A,B) ^ a!=b ^ a&gt;=b|)</t>
  </si>
  <si>
    <t>Partial-while</t>
  </si>
  <si>
    <t>(|0=x*0 ^ 0&lt;=n-0|)</t>
  </si>
  <si>
    <t>(|0=x*i ^ 0&lt;=n-i|)</t>
  </si>
  <si>
    <t>(|y=x*i ^ 0&lt;=n-i|)</t>
  </si>
  <si>
    <t>while(n-i!=0){</t>
  </si>
  <si>
    <t>(|y=x*i ^ i!=n ^ 0&lt;=n-i=E0|)</t>
  </si>
  <si>
    <t>(|y+x=x*(i+1) ^ 0&lt;=n-(i+1)&lt;E0|)</t>
  </si>
  <si>
    <t>y=y+x</t>
  </si>
  <si>
    <t>(|y=x*(i+1) ^ 0&lt;=n-(i+1)&lt;E0|)</t>
  </si>
  <si>
    <t>(|y=x*i ^ 0&lt;=n-i&lt;E0|)</t>
  </si>
  <si>
    <t>(|y=x*i ^ i=n|)</t>
  </si>
  <si>
    <t>Total-while</t>
  </si>
  <si>
    <t>(|y=x*n|)</t>
  </si>
  <si>
    <t>|a-b|</t>
  </si>
  <si>
    <t>a-GCD(A,B)</t>
  </si>
  <si>
    <t>(|GCD(A,B)=GCD(A,B) ^ 0&lt;=A+B-2GCD(A,B) ^ A,B&gt;0|)</t>
  </si>
  <si>
    <t>(|GCD(a,B)=GCD(A,B) ^ 0&lt;=a+b-2GCD(A,B) ^ a,B&gt;0|)</t>
  </si>
  <si>
    <t>(|GCD(a,b)=GCD(A,B) ^ 0&lt;=a+b-2GCD(A,B) ^ a,b&gt;0|)</t>
  </si>
  <si>
    <t>(|GCD(a,b)=GCD(A,B) ^ a!=b ^ 0&lt;=a+b-2GCD(A,B)=E0 ^ a,b&gt;0|)</t>
  </si>
  <si>
    <t>(|GCD(a,b)=GCD(A,B) ^ a!=b ^ 0&lt;=a+b-2GCD(A,B)=E0 ^ a&lt;b ^ a,b&gt;0|)</t>
  </si>
  <si>
    <t>If-statement</t>
  </si>
  <si>
    <t>(|GCD(a,b-a)=GCD(A,B) ^ 0&lt;=b-2GCD(A,B)&lt;E0|)</t>
  </si>
  <si>
    <t>(|GCD(a,b)=GCD(A,B) ^ 0&lt;=a+b-2GCD(A,B)&lt;E0|)</t>
  </si>
  <si>
    <t>(|GCD(a,b)=GCD(A,B) ^ a!=b ^ 0&lt;=a+b-2GCD(A,B)=E0 ^ a&gt;=b ^ a,b&gt;0|)</t>
  </si>
  <si>
    <t>(|GCD(a-b,b)=GCD(A,B) ^ 0&lt;=a-2GCD(A,B)&lt;E0|)</t>
  </si>
  <si>
    <t>(|x&gt;=2|)</t>
  </si>
  <si>
    <t>(|true=rv&lt;---&gt;(∀i, 2&lt;=i&lt;2, x%i) ^ x&gt;=2|)</t>
  </si>
  <si>
    <t>(|z=rv&lt;---&gt;(∀i, 2&lt;=i&lt;2, x%i) ^ x&gt;=2|)</t>
  </si>
  <si>
    <t>a=2</t>
  </si>
  <si>
    <t>(|z=rv&lt;---&gt;(∀i, 2&lt;=i&lt;a, x%i) ^ x&gt;=a|)</t>
  </si>
  <si>
    <t>while(a&lt;x){</t>
  </si>
  <si>
    <t>(|z=rv&lt;---&gt;(∀i, 2&lt;=i&lt;a, x%i) ^ a&lt;x ^ x&gt;=a|)</t>
  </si>
  <si>
    <t>if(x%a==0){</t>
  </si>
  <si>
    <t>(|z=rv&lt;---&gt;(∀i, 2&lt;=i&lt;a, x%i) ^ a&lt;x ^ x&gt;=a ^ x%a==0|)</t>
  </si>
  <si>
    <t>(|false=rv&lt;---&gt;(∀i, 2&lt;=i&lt;a+1, x%i) ^x&gt;=a+1|)</t>
  </si>
  <si>
    <t>(|z=rv&lt;---&gt;(∀i, 2&lt;=i&lt;a+1, x%i) ^x&gt;=a+1|)</t>
  </si>
  <si>
    <t>(|z=rv&lt;---&gt;(∀i, 2&lt;=i&lt;a, x%i) ^ a&lt;x ^ x&gt;=a ^ x%a|)</t>
  </si>
  <si>
    <t>(|z=rv&lt;---&gt;(∀i, 2&lt;=i&lt;a, x%i) ^x&gt;=a|)</t>
  </si>
  <si>
    <t>(|z=rv&lt;---&gt;(∀i, 2&lt;=i&lt;a, x%i) ^ a&gt;=x ^x&gt;=a|)</t>
  </si>
  <si>
    <t>(|z=rv&lt;---&gt;(∀i, 2&lt;=i&lt;x, x%i) ^ a&gt;=x ^x&gt;=a|)</t>
  </si>
  <si>
    <t>(|z=rv&lt;---&gt;isprime(x)|)</t>
  </si>
  <si>
    <t>(|y=x!/a! ^ a&gt;=0 ^ 0&lt;=a|)</t>
  </si>
  <si>
    <t>while (a &gt; 0) {</t>
  </si>
  <si>
    <t>(|y=x!/a! ^ a&gt;=0 ^ a&gt;0|)</t>
  </si>
  <si>
    <t>inva</t>
  </si>
  <si>
    <t>(|y=x!/a! ^ a!=0 ^ a&gt;=0 ^ 0&lt;= a-1 &lt;E0|)</t>
  </si>
  <si>
    <t>(|y*a=x!/(a-1)! ^ a-1&gt;=0 ^ 0&lt;= a-1 &lt;E0|)</t>
  </si>
  <si>
    <t>y = y * a;</t>
  </si>
  <si>
    <t>(|y=x!/(a-1)! ^ a-1&gt;=0 ^ 0&lt;= a-1 &lt;E0|)</t>
  </si>
  <si>
    <t>(|y=x!/a!| ^ a&gt;=0)</t>
  </si>
  <si>
    <t>(|y=x!/a! ^ a&gt;=0 ^ 0&lt;= a &lt;E0|)</t>
  </si>
  <si>
    <t>(|y=x!/a! ^ a=0 ^ a&gt;=0|)</t>
  </si>
  <si>
    <t>(|a[0]=sum(a,1) ^ n&gt;0|)</t>
  </si>
  <si>
    <t>(|s=sum(a,1) ^ n&gt;0|)</t>
  </si>
  <si>
    <t>i=1;</t>
  </si>
  <si>
    <t>(|s=sum(a,i) ^ n&gt;0|)</t>
  </si>
  <si>
    <t>(|s=sum(a,i) ^ n&gt;0 ^i=1|)</t>
  </si>
  <si>
    <t>(|s=sum(a,i) ^ n&gt;0 ^i&lt;=n|)</t>
  </si>
  <si>
    <t>(|s=sum(a,i) ^ i&lt;n ^n&gt;0^i&lt;=n|)</t>
  </si>
  <si>
    <t>(|s+a[i]=sum(a,i+1) ^n&gt;0^i&lt;=n|)</t>
  </si>
  <si>
    <t>s=s+a[i]</t>
  </si>
  <si>
    <t>(|s=sum(a,i+1) ^n&gt;0^i&lt;=n|)</t>
  </si>
  <si>
    <t>(|s=sum(a,i) ^n&gt;0^i&lt;=n|)</t>
  </si>
  <si>
    <t>(|s=sum(a,i) ^ i&gt;=n ^ n&gt;0^i&lt;=n|)</t>
  </si>
  <si>
    <t>(|s=sum(a,n)|)</t>
  </si>
  <si>
    <t>(|(∃i,j (0 ≤ i ≤ j &lt; 1 ∧ a[0] = Sij)) ^ (∀i(0 ≤ i &lt; 1 → a[0] ≤ S_i_(0))|)</t>
  </si>
  <si>
    <t>(|(∃i,j (0 ≤ i ≤ j &lt; k ∧ a[0] = Sij)) ^ (∀i(0 ≤ i &lt; k → a[0] ≤ S_i_(k-1))|)</t>
  </si>
  <si>
    <t>(|(∃i,j (0 ≤ i ≤ j &lt; k ∧ a[0] = Sij)) ^ (∀i(0 ≤ i &lt; k → t ≤ S_i_(k-1))|)</t>
  </si>
  <si>
    <t>(|(∃i,j (0 ≤ i ≤ j &lt; k ∧ s = Sij)) ^ (∀i(0 ≤ i &lt; k → t ≤ S_i_(k-1))|)</t>
  </si>
  <si>
    <t>(|(∃i,j (0 ≤ i ≤ j &lt; k ∧ s = Sij)) ^ (∀i(0 ≤ i &lt; k → t ≤ S_i_(k-1)) ^ k!=n|)</t>
  </si>
  <si>
    <t>(|(∃i,j (0 ≤ i ≤ j &lt; k+1 ∧ min(s,min(t+a[k],a[k])) = Sij)) ^ (∀i(0 ≤ i &lt; k+1 → min(t+a[k],a[k]) ≤ S_i_(k))|)</t>
  </si>
  <si>
    <t>(|(∃i,j (0 ≤ i ≤ j &lt; k+1 ∧ min(s,t) = Sij)) ^ (∀i(0 ≤ i &lt; k+1 → t ≤ S_i_(k))|)</t>
  </si>
  <si>
    <t>(|(∃i,j (0 ≤ i ≤ j &lt; k+1 ∧ s = Sij)) ^ (∀i(0 ≤ i &lt; k+1 → t ≤ S_i_(k))|)</t>
  </si>
  <si>
    <t>(|(∃i,j (0 ≤ i ≤ j &lt; k ∧ s = Sij)) ^ (∀i(0 ≤ i &lt; k → t ≤ S_i_(k-1)) ^ k=n|)</t>
  </si>
  <si>
    <t>(|(∃i,j (0 ≤ i ≤ j &lt; n ∧ s = Sij)) ^ (∀i(0 ≤ i &lt; n → t ≤ S_i_(k-1))|)</t>
  </si>
  <si>
    <t>(|(∃i,j (0 ≤ i ≤ j &lt; n ∧ s = Sij))|)</t>
  </si>
  <si>
    <t>(|1=0! ^ 0≤x|)</t>
  </si>
  <si>
    <t>(|GCD(A,B)=GCD(a,b) ^ A,B&gt;0|)</t>
  </si>
  <si>
    <t>(|y=0! ^ 0≤x-0|)</t>
  </si>
  <si>
    <t>(|GCD(a,B)=GCD(A,B) ^ a,B&gt;0|)</t>
  </si>
  <si>
    <t>(|y=z! ^ 0≤x-z|)</t>
  </si>
  <si>
    <t>(|GCD(a,b)=GCD(A,B) ^ a,b&gt;0|)</t>
  </si>
  <si>
    <t>while(0!=x-z){</t>
  </si>
  <si>
    <t>(|y=z! ^ z~=x ^ 0≤x-z=E0|)</t>
  </si>
  <si>
    <t>(|GCD(a,b)=GCD(A,B) ^ a!=b ^ a,b&gt;0|)</t>
  </si>
  <si>
    <t>(|y*(z+1)=(z+1)! ^ 0≤x-(z+1)&lt;E0|)</t>
  </si>
  <si>
    <t>if(a&lt;b)</t>
  </si>
  <si>
    <t>(|GCD(a,b)=GCD(A,B) ^ a!=b ^ a&lt;b ^ a,b&gt;0|)</t>
  </si>
  <si>
    <t>(|y*z=z! ^ 0≤x-z&lt;E0|)</t>
  </si>
  <si>
    <t>(|GCD(a,b-a)=GCD(A,B) ^ a,b-a&gt;0|)</t>
  </si>
  <si>
    <t>(|y=z! ^ 0≤x-z&lt;E0|)</t>
  </si>
  <si>
    <t>(|GCD(a,b)=GCD(A,B) ^ a!=b ^ a&gt;=b ^ a,b&gt;0|)</t>
  </si>
  <si>
    <t>(|GCD(a-b,b)=GCD(A,B) ^ a-b,b&gt;0|)</t>
  </si>
  <si>
    <t>(|GCD(a,a)=GCD(A,B) ^ a=b ^ a,b&gt;0|)</t>
  </si>
  <si>
    <t>(|GCD(A,B)=GCD(A,B) ^ A,B&gt;0 ^ 0&lt;=(A+B)/GCD(A,B)|)</t>
  </si>
  <si>
    <t>(|GCD(a,B)=GCD(A,B) ^ a,B&gt;0 ^ 0&lt;=(a+B)/GCD(A,B)|)</t>
  </si>
  <si>
    <t>0&lt;=(a+b)/GCD(A,B)&lt;=E0</t>
  </si>
  <si>
    <t>a&lt;b</t>
  </si>
  <si>
    <t>a,b&gt;0</t>
  </si>
  <si>
    <t>(|GCD(a,b)=GCD(A,B) ^ a,b&gt;0 ^ 0&lt;=(a+b)/GCD(A,B)|)</t>
  </si>
  <si>
    <t>0&lt;=(b)/GCD(A,B)&lt;E0</t>
  </si>
  <si>
    <t>(|GCD(a,b)=GCD(A,B) ^ a!=b ^ a,b&gt;0 ^ 0&lt;=(a+b)/GCD(A,B)&lt;=E0|)</t>
  </si>
  <si>
    <t>(a+b)/GCD(A,B)</t>
  </si>
  <si>
    <t>(|GCD(a,b)=GCD(A,B) ^ a!=b ^ a&lt;b ^ a,b&gt;0 ^ 0&lt;=(a+b)/GCD(A,B)&lt;=E0|)</t>
  </si>
  <si>
    <t>(|GCD(a,b-a)=GCD(A,B) ^ a,b-a&gt;0 ^ 0&lt;=(b)/GCD(A,B)&lt;E0|)</t>
  </si>
  <si>
    <t>(|GCD(a,b)=GCD(A,B) ^ a,b&gt;0 ^ 0&lt;=(a+b)/GCD(A,B)&lt;E0|)</t>
  </si>
  <si>
    <t>(|GCD(a,b)=GCD(A,B) ^ a!=b ^ a&gt;=b ^ a,b&gt;0 ^ 0&lt;=(a+b)/GCD(A,B)&lt;=E0|)</t>
  </si>
  <si>
    <t>(|GCD(a-b,b)=GCD(A,B) ^ a-b,b&gt;0 ^ 0&lt;=(a)/GCD(A,B)&lt;E0|)</t>
  </si>
  <si>
    <t>(|true=rv&lt;--&gt;isUnique2(A,n,0)|)</t>
  </si>
  <si>
    <t>k=true</t>
  </si>
  <si>
    <t>(|k=rv&lt;--&gt;isUnique2(A,n,0)|)</t>
  </si>
  <si>
    <t>(|k=rv&lt;--&gt;isUnique2(A,n,i)|)</t>
  </si>
  <si>
    <t>while(i!=n-1){</t>
  </si>
  <si>
    <t>(|k=rv&lt;--&gt;isUnique2(A,n,i) ^ i!=n-1|)</t>
  </si>
  <si>
    <t>Invariant1</t>
  </si>
  <si>
    <t>(|k=rv&lt;--&gt;isUnique3(A,n,i,i+1)^isUnique2(A,n,i)|)</t>
  </si>
  <si>
    <t>(|k=rv&lt;--&gt;isUnique3(A,n,i,j)^isUnique2(A,n,i)|)</t>
  </si>
  <si>
    <t>while(j!=n){</t>
  </si>
  <si>
    <t>(|k=rv&lt;--&gt;isUnique3(A,n,i,j)^isUnique2(A,n,i)^ j!=n|)</t>
  </si>
  <si>
    <t>Invariant2</t>
  </si>
  <si>
    <t>if(a[i]==a[j]){</t>
  </si>
  <si>
    <t>(|k=rv&lt;--&gt;isUnique3(A,n,i,j)^isUnique2(A,n,i)^ j!=n^ a[i]==a[j]|)</t>
  </si>
  <si>
    <t>If-Statement</t>
  </si>
  <si>
    <t>(|false=rv&lt;--&gt;isUnique3(A,n,i,j+1)^isUnique2(A,n,i)|)</t>
  </si>
  <si>
    <t>k=false</t>
  </si>
  <si>
    <t>(|k=rv&lt;--&gt;isUnique3(A,n,i,j+1)^isUnique2(A,n,i)|)</t>
  </si>
  <si>
    <t>(|k=rv&lt;--&gt;isUnique3(A,n,i,j)^isUnique2(A,n,i)^ j!=n ^ a[i]!=a[j]|)</t>
  </si>
  <si>
    <t>(|k=rv&lt;--&gt;isUnique3(A,n,i,j)^isUnique2(A,n,i) ^ j=n|)</t>
  </si>
  <si>
    <t>Partial-While</t>
  </si>
  <si>
    <t>(|k=rv&lt;--&gt;isUnique2(A,n,i+1)|)</t>
  </si>
  <si>
    <t>(|k=rv&lt;--&gt;isUnique2(A,n,i) ^ i=n-1|)</t>
  </si>
  <si>
    <t>(|k=rv&lt;--&gt;isUnique(A,n)|)</t>
  </si>
  <si>
    <t>ndayofmonth(month)</t>
  </si>
  <si>
    <t>if(month=1,3,5,7,8,10,12){</t>
  </si>
  <si>
    <t>(|month=1,3,5,7,8,10,12|)</t>
  </si>
  <si>
    <t>(|31=dayOfMonth(month)|)</t>
  </si>
  <si>
    <t>day=31</t>
  </si>
  <si>
    <t>(|day=dayOfMonth(month)|)</t>
  </si>
  <si>
    <t xml:space="preserve">else{ </t>
  </si>
  <si>
    <t xml:space="preserve">else if(month=2){ </t>
  </si>
  <si>
    <t>(|month!=1,3,5,7,8,10,12|)</t>
  </si>
  <si>
    <t>(|month!=1,3,5,7,8,10,12 ^ month=2|)</t>
  </si>
  <si>
    <t>if(month = 2){</t>
  </si>
  <si>
    <t>(|28=dayOfMonth(month)|)</t>
  </si>
  <si>
    <t>day=28</t>
  </si>
  <si>
    <t>(|month!=1,3,5,7,8,10,12 ^ month!=2|)</t>
  </si>
  <si>
    <t>(|30=dayOfMonth(month)|)</t>
  </si>
  <si>
    <t>day=30</t>
  </si>
  <si>
    <t>counthour(hour,minute,sec)</t>
  </si>
  <si>
    <t>(|minute&gt;=0|)</t>
  </si>
  <si>
    <t>(|hour*3600+minute*60+sec = hour*3600+minute*60+sec ^ 0&lt;=minute/60|)</t>
  </si>
  <si>
    <t>h=hour</t>
  </si>
  <si>
    <t>(|h*3600+minute*60+sec = hour*3600+minute*60+sec ^ 0&lt;=minute/60|)</t>
  </si>
  <si>
    <t>m=minute</t>
  </si>
  <si>
    <t>(|h*3600+m*60+sec = hour*3600+minute*60+sec ^0&lt;=minute/6|)</t>
  </si>
  <si>
    <t>s=sec</t>
  </si>
  <si>
    <t>(|h*3600+m*60+s = hour*3600+minute*60+sec ^ 0&lt;=m/60|)</t>
  </si>
  <si>
    <t>while(s&gt;=60){</t>
  </si>
  <si>
    <t>(|h*3600+m*60+s = hour*3600+minute*60+sec ^ s&gt;=60|)</t>
  </si>
  <si>
    <t>(|h*3600+(m+1)*60+(s-60) = hour*3600+minute*60+sec|)</t>
  </si>
  <si>
    <t>s=s-60</t>
  </si>
  <si>
    <t>(|h*3600+(m+1)*60+s = hour*3600+minute*60+sec|)</t>
  </si>
  <si>
    <t>QUOTIENT(m,60)</t>
  </si>
  <si>
    <t>m=m+1</t>
  </si>
  <si>
    <t>(|h*3600+m*60+s = hour*3600+minute*60+sec|)</t>
  </si>
  <si>
    <t>(|h*3600+m*60+s = hour*3600+minute*60+sec ^ s&lt;60 ^ 0&lt;=m/60|)</t>
  </si>
  <si>
    <t>while(m&gt;=60){</t>
  </si>
  <si>
    <t>(|h*3600+m*60+s = hour*3600+minute*60+sec ^ m&gt;=60 ^ s&lt;60 ^0&lt;=m/60&lt;=E0|)</t>
  </si>
  <si>
    <t>(|(h+1)*3600+(m-60)*60+s = hour*3600+minute*60+sec ^ s&lt;60 ^0&lt;=m/60&lt;E0|)</t>
  </si>
  <si>
    <t>m=m-60</t>
  </si>
  <si>
    <t>(|(h+1)*3600+m*60+s = hour*3600+minute*60+sec ^ s&lt;60 ^0&lt;=m/60&lt;E0|)</t>
  </si>
  <si>
    <t>h=h+1</t>
  </si>
  <si>
    <t>(|h*3600+m*60+s = hour*3600+minute*60+sec ^ s&lt;60 ^0&lt;=m/60&lt;E0|)</t>
  </si>
  <si>
    <t>(|h*3600+m*60+s = hour*3600+minute*60+sec ^ m&lt;60 ^ s&lt;60|)</t>
  </si>
  <si>
    <t>(|pal(a,0,n-1)=r.v-&gt;pal(a,0,n-1)|)</t>
  </si>
  <si>
    <t>z=pal(a,0,n-1)</t>
  </si>
  <si>
    <t>(|z=r.v-&gt;pal(a,0,n-0-1)  ^  z=pal(a,0,n-1)|)</t>
  </si>
  <si>
    <t>(|z=r.v-&gt;pal(a,i,n-i-1)  ^ z=pal(a,i,n-i-1)|)</t>
  </si>
  <si>
    <t>while(i&lt;n/2){</t>
  </si>
  <si>
    <t>(|z=r.v-&gt;pal(a,i,n-i-1) ^ i&lt;n/2  ^z=pal(a,i,n-i-1)|)</t>
  </si>
  <si>
    <t>(|y*a=x!/(a-1)! ^a-1&gt;=0|)</t>
  </si>
  <si>
    <t>(|z=r.v-&gt;pal(a,i+1,n-i)  ^  z=pal(a,i,n-i-1)|)</t>
  </si>
  <si>
    <t>(|y=x!/(a-1)! ^a-1&gt;=0|)</t>
  </si>
  <si>
    <t>(|z=r.v-&gt;pal(a,i,n-i-1)  ^ z=pal(a,i-1,n-i-2)|)</t>
  </si>
  <si>
    <t>if(a[i]!=a(n-i-1)){</t>
  </si>
  <si>
    <t>(|z=r.v-&gt;pal(a,i,n-i-1) ^ a[i]!=a[n-i-1] ^ z=pal(a,i-1,n-i-2)|)</t>
  </si>
  <si>
    <t>(|false=r.v-&gt;pal(a,i,n-i-1) ^ z=pal(a,i-1,n-i-2)|)</t>
  </si>
  <si>
    <t>(|y=x!/a! ^ a&lt;=0 ^a&gt;=0|)</t>
  </si>
  <si>
    <t>z=false;</t>
  </si>
  <si>
    <t>break;</t>
  </si>
  <si>
    <t>(|z=r.v-&gt;pal(a,i,n-i-1) ^ z=pal(a,i-1,n-i-2)|)</t>
  </si>
  <si>
    <t>(|z=r.v-&gt;pal(a,i,n-i-1)|)</t>
  </si>
  <si>
    <t>(|z=r.v-&gt;pal(a,i,n-i-1) ^ i&gt;=n/2|)</t>
  </si>
  <si>
    <t>&lt;=&gt;</t>
  </si>
  <si>
    <t>(|z=r.v-&gt;forall(a[k];0&lt;=k&lt;i ^ n-i-1&lt;=k&lt;n;a[k]=a[n-k-1] ^ i&gt;=n/2|)</t>
  </si>
  <si>
    <t>(|z=r.v-&gt;forall(a[i];0&lt;=i&lt;n;a[i]=a[n-i-1]|)</t>
  </si>
  <si>
    <t>(|n&gt;=1|)</t>
  </si>
  <si>
    <t>(|A&gt;=0|)</t>
  </si>
  <si>
    <t>(|1=fibo(0) ^1=fibo(1)  ^ 0&lt;=n-1|)</t>
  </si>
  <si>
    <t>(|1=countNum(A)-countNum(A)+1 ^ A&gt;=0)</t>
  </si>
  <si>
    <t>(|f0=fibo(0) ^1=fibo(1)  ^ 0&lt;=n-1|)</t>
  </si>
  <si>
    <t>(|1=countNum(A)-countNum(a)+1 ^ a&gt;=0|)</t>
  </si>
  <si>
    <t>n=1</t>
  </si>
  <si>
    <t>(|f0=fibo(1-1) ^f1=fibo(1)  ^ 0&lt;=n-1|)</t>
  </si>
  <si>
    <t>(|n=countNum(A)-countNum(a)+1 ^ a&gt;=0|)</t>
  </si>
  <si>
    <t>while(a&gt;=10){</t>
  </si>
  <si>
    <t>(|f0=fibo(i-1) ^f1=fibo(i) ^ 0&lt;=n-i|)</t>
  </si>
  <si>
    <t>(|n=countNum(A)-countNum(a)+1 ^ a&gt;=0 ^ a&gt;=10 ^ 0&lt;=a=E0|)</t>
  </si>
  <si>
    <t>while(0!=n-i){</t>
  </si>
  <si>
    <t>(|n+1=countNum(A)-countNum(a/10)+1 ^ a&gt;=0 ^ 0&lt;=a/10&lt;E0|)</t>
  </si>
  <si>
    <t>(|f0=fibo(i-1) ^ f1=fibo(i) ^ i!=n ^ 0&lt;=n-i=E0|)</t>
  </si>
  <si>
    <t>a=a/10</t>
  </si>
  <si>
    <t>(|f1=fibo(i) ^ f0+f1=fibo(i+1) ^ 0&lt;=n-(i+1)&lt;E0|)</t>
  </si>
  <si>
    <t>(|n+1=countNum(A)-countNum(a)+1 ^ a&gt;=0 ^ 0&lt;=a&lt;E0|)</t>
  </si>
  <si>
    <t>n=n+1</t>
  </si>
  <si>
    <t>(|f1=fibo(i-1) ^ f0+f1=fibo(i) ^ 0&lt;=n-i&lt;E0|)</t>
  </si>
  <si>
    <t>(|n=countNum(A)-countNum(a)+1 ^ a&gt;=0 ^ 0&lt;=a&lt;E0|)</t>
  </si>
  <si>
    <t>f2=f0+f1</t>
  </si>
  <si>
    <t>(|f1=fibo(i-1) ^ f2=fibo(i) ^ 0&lt;=n-i&lt;E0|)</t>
  </si>
  <si>
    <t>(|n=countNum(A)-countNum(a)+1 ^ a&lt;10 ^ a&gt;=0|)</t>
  </si>
  <si>
    <t>(|n=countNum(A)-1+1|)</t>
  </si>
  <si>
    <t>(|f0=fibo(i-1) ^ f2=fibo(i) ^ 0&lt;=n-i&lt;E0|)</t>
  </si>
  <si>
    <t>(|n=countNum(A)|)</t>
  </si>
  <si>
    <t>f1=f2</t>
  </si>
  <si>
    <t>(|f0=fibo(i-1) ^ f1=fibo(i) ^ 0&lt;=n-i&lt;E0|)</t>
  </si>
  <si>
    <t>n</t>
  </si>
  <si>
    <t>a-10</t>
  </si>
  <si>
    <t>(|f0=fibo(i-1) ^ f1=fibo(i) ^ i=n|)</t>
  </si>
  <si>
    <t>(|sorted(A,0)|)</t>
  </si>
  <si>
    <t>(|sorted(A,i)|)</t>
  </si>
  <si>
    <t>A</t>
  </si>
  <si>
    <t>(|sorted(A,i) ^ i!=n-1|)</t>
  </si>
  <si>
    <t>(|a[n-1]&lt;=a[n] ^ ∀p,q(0&lt;=p&lt;n-1,n&lt;=q&lt;n → a[p]&lt;=a[q] )^ ∀q(n-1&lt;=q&lt;n → a[n-1]&lt;=a[q]) ^ ∀p,q(0&lt;=p&lt;q&lt;i → a[p]&lt;=a[q])|)</t>
  </si>
  <si>
    <t>j=n-1</t>
  </si>
  <si>
    <t>(|a[j]&lt;=a[j+1] ^ ∀p,q(0&lt;=p&lt;j,j+1&lt;=q&lt;n → a[p]&lt;=a[q] )^ ∀q(j&lt;=q&lt;n → a[j]&lt;=a[q]) ^ ∀p,q(0&lt;=p&lt;q&lt;i → a[p]&lt;=a[q])|)</t>
  </si>
  <si>
    <t>while(j!=i){</t>
  </si>
  <si>
    <t>(|a[j]&lt;=a[j+1] ^ ∀p,q(0&lt;=p&lt;j,j+1&lt;=q&lt;n → a[p]&lt;=a[q] )^ ∀q(j&lt;=q&lt;n → a[j]&lt;=a[q]) ^ ∀p,q(0&lt;=p&lt;q&lt;i → a[p]&lt;=a[q]) ^ j!=i|)</t>
  </si>
  <si>
    <t>if(a[j]&lt;=a[j-1]){</t>
  </si>
  <si>
    <t>(|a[j]&lt;=a[j+1] ^ ∀p,q(0&lt;=p&lt;j,j+1&lt;=q&lt;n → a[p]&lt;=a[q] )^ ∀q(j&lt;=q&lt;n → a[j]&lt;=a[q]) ^ ∀p,q(0&lt;=p&lt;q&lt;i → a[p]&lt;=a[q]) ^ j!=i ^ a[j]&lt;=a[j-1]|)</t>
  </si>
  <si>
    <t>If -statement</t>
  </si>
  <si>
    <t>(|a[j]&lt;=a[j-1]^ ∀p,q(0&lt;=p&lt;j-1,j&lt;=q&lt;n → a[p]&lt;=a[q] )  ^ ∀q(j-1&lt;=q&lt;n → a[j]&lt;=a[q]) ^ ∀p,q(0&lt;=p&lt;q&lt;i → a[p]&lt;=a[q])|)</t>
  </si>
  <si>
    <t>temp=a[j]</t>
  </si>
  <si>
    <t>(|temp&lt;=a[j-1]^ ∀p,q(0&lt;=p&lt;j-1,j&lt;=q&lt;n → a[p]&lt;=a[q] )  ^ ∀q(j-1&lt;=q&lt;n → temp&lt;=a[q]) ^ ∀p,q(0&lt;=p&lt;q&lt;i → a[p]&lt;=a[q])|)</t>
  </si>
  <si>
    <t>a[j]=a[j-1]</t>
  </si>
  <si>
    <t>(|temp&lt;=a[j] ^ ∀p,q(0&lt;=p&lt;j-1,j&lt;=q&lt;n → a[p]&lt;=a[q] ) ^ ∀q(j-1&lt;=q&lt;n → temp&lt;=a[q]) ^ ∀p,q(0&lt;=p&lt;q&lt;i → a[p]&lt;=a[q])|)</t>
  </si>
  <si>
    <t>a[j-1]=temp</t>
  </si>
  <si>
    <t>(|a[j-1]&lt;=a[j] ^ ∀p,q(0&lt;=p&lt;j-1,j&lt;=q&lt;n → a[p]&lt;=a[q] ) ^ ∀q(j-1&lt;=q&lt;n → a[j-1]&lt;=a[q]) ^ ∀p,q(0&lt;=p&lt;q&lt;i → a[p]&lt;=a[q])|)</t>
  </si>
  <si>
    <t>(|a[j]&lt;=a[j+1] ^ ∀p,q(0&lt;=p&lt;j,j+1&lt;=q&lt;n → a[p]&lt;=a[q] )^ ∀q(j&lt;=q&lt;n → a[j]&lt;=a[q]) ^ ∀p,q(0&lt;=p&lt;q&lt;i → a[p]&lt;=a[q]) ^ j!=i ^ a[j-1]&lt;a[j]|)</t>
  </si>
  <si>
    <t>j=j-1</t>
  </si>
  <si>
    <t>(|a[j]&lt;=a[j+1] ^ ∀p,q(0&lt;=p&lt;j,j+1&lt;=q&lt;n → a[p]&lt;=a[q] )^ ∀q(j&lt;=q&lt;n → a[j]&lt;=a[q]) ^ ∀p,q(0&lt;=p&lt;q&lt;i → a[p]&lt;=a[q]) ^ j=i|)</t>
  </si>
  <si>
    <t>(|a[i]&lt;=a[i+1] ^ ∀p,q(0&lt;=p&lt;i,i+1&lt;=q&lt;n → a[p]&lt;=a[q] )^ ∀q(i&lt;=q&lt;n → a[i]&lt;=a[q]) ^ ∀p,q(0&lt;=p&lt;q&lt;i → a[p]&lt;=a[q])|)</t>
  </si>
  <si>
    <t>(|sorted(A,i+1) ^ ∀p,q(0&lt;=p&lt;i,i+1&lt;=q&lt;n → a[p]&lt;=a[q] )|)</t>
  </si>
  <si>
    <t>∀p,q(0&lt;=p&lt;q&lt;i+1 → a[p]&lt;=a[q])</t>
  </si>
  <si>
    <t>(|sorted(A,i) ^ ∀p,q(0&lt;=p&lt;i-1,i&lt;=q&lt;n → a[p]&lt;=a[q] )|)</t>
  </si>
  <si>
    <t>∀p,q(0&lt;=p&lt;q&lt;i → a[p]&lt;=a[q])</t>
  </si>
  <si>
    <t>∀p,q(0&lt;=p&lt;q&lt;n → a[p]&lt;=a[q])</t>
  </si>
  <si>
    <t>(|sorted(A,i) ^ ∀p,q(0&lt;=p&lt;i-1,i&lt;=q&lt;n → a[p]&lt;=a[q] ) ^ i=n-1|)</t>
  </si>
  <si>
    <t>(|sorted(A,n-1) ^ ∀p,q(0&lt;=p&lt;n-1,n-1&lt;=q&lt;n → a[p]&lt;=a[q] )|)</t>
  </si>
  <si>
    <t>(|sorted(A,n)|)</t>
  </si>
  <si>
    <t>(|0=sumEvenIndex(A,0) ^ 0%2==0|)</t>
  </si>
  <si>
    <t>(|0=sumEvenIndex(A,0)|)</t>
  </si>
  <si>
    <t>s=0</t>
  </si>
  <si>
    <t>(|s=sumEvenIndex(A,0) ^ 0%2==0|)</t>
  </si>
  <si>
    <t>(|s=sumEvenIndex(A,0)|)</t>
  </si>
  <si>
    <t>(|s=sumEvenIndex(A,i) ^ i%2==0|)</t>
  </si>
  <si>
    <t>(|s=sumEvenIndex(A,i)|)</t>
  </si>
  <si>
    <t>while(i!=n){</t>
  </si>
  <si>
    <t>(|s=sumEvenIndex(A,i) ^ i!=n ^ i%2==0|)</t>
  </si>
  <si>
    <t>(|s=sumEvenIndex(A,i) ^ i!=n|)</t>
  </si>
  <si>
    <t>(|s+a[i]=sumEvenIndex(A,i+2) ^ i%2==0|)</t>
  </si>
  <si>
    <t>if(i%2==0){</t>
  </si>
  <si>
    <t>(|s=sumEvenIndex(A,i+2) ^ i%2==0|)</t>
  </si>
  <si>
    <t>(|s+a[i]=sumEvenIndex(A,i+1)|)</t>
  </si>
  <si>
    <t>i=i+2</t>
  </si>
  <si>
    <t>(|s=sumEvenIndex(A,i+1)|)</t>
  </si>
  <si>
    <t>(|s=sumEvenIndex(A,i) ^ i=n ^ i%2==0|)</t>
  </si>
  <si>
    <t>(|s=sumEvenIndex(A,i) ^ i!=n ^ i%2|)</t>
  </si>
  <si>
    <t>(|s=sumEvenIndex(A,n)|)</t>
  </si>
  <si>
    <t>sum(A[i],i%2=0)</t>
  </si>
  <si>
    <t>(|s=sumEvenIndex(A,i) ^ i=n|)</t>
  </si>
  <si>
    <t>(|0=2sum(0,(0-1)/2) ^ -1&lt;=n|)</t>
  </si>
  <si>
    <t>(|0=2sum(0,(0-1)/2) ^ 0-1&lt;=n|)</t>
  </si>
  <si>
    <t>(|0=2sum(0,(i-1)/2) ^ i-1&lt;=n|)</t>
  </si>
  <si>
    <t>(|s=2sum(0,(i-1)/2) ^ i-1&lt;=n|)</t>
  </si>
  <si>
    <t>while(i&lt;=n)</t>
  </si>
  <si>
    <t>(|s=2sum(0,(i-1)/2) ^ i-1&lt;=n^ i&lt;=n|)</t>
  </si>
  <si>
    <t>(|s=2sum(0,(i-1)/2) ^ i-1&lt;=n^ i&lt;=n ^ i_even|)</t>
  </si>
  <si>
    <t>(|s+i=2sum(0,(i)/2) ^ i-2&lt;=n|)</t>
  </si>
  <si>
    <t>s=s+i</t>
  </si>
  <si>
    <t>(|s=2sum(0,(i)/2) ^ i-2&lt;=n|)</t>
  </si>
  <si>
    <t>(|s=2sum(0,(i-1)/2) ^ i-1&lt;=n^ i&lt;=n ^ i_odd|)</t>
  </si>
  <si>
    <t>i=i-1;</t>
  </si>
  <si>
    <t>(|s=2sum(0,(i-1)/2) ^ i-1&lt;=n^ i&gt;n|)</t>
  </si>
  <si>
    <t>(|s=2sum(0,(i-1)/2) ^ i-1=n|)</t>
  </si>
  <si>
    <t>(|s=2sum(0,(n)) ^ i-1=n|)</t>
  </si>
  <si>
    <t>sumpositiveeven(a)=0 for all a &lt;=0</t>
  </si>
  <si>
    <t>I. ∀xP(x) ∨ ∀xQ(x) −→ ∀x(P(x) ∨ Q(x)). II. ∃xP(x) ∨ ∃xQ(x) −→ ∃x(P(x) ∨ Q(x)). III.. IV. ∃x(P(x) → Q(x)) −→ (∃xP(x) → ∃xQ(x)).</t>
  </si>
  <si>
    <t>C</t>
  </si>
  <si>
    <t>∀x(P(x) → Q(x)) → (∀xP(x) → ∀xQ(x))</t>
  </si>
  <si>
    <t>∀x(~P(x) ∨ Q(x)) → ∀x~P(x) ∨ ∀xQ(x)</t>
  </si>
  <si>
    <t>D</t>
  </si>
  <si>
    <t>∃x(P(x) → Q(x)) −→ (∃xP(x) → ∃xQ(x)).</t>
  </si>
  <si>
    <t>∃x(~P(x) ∨ Q(x)) → ∃x~P(x) ∨ ∃xQ(x)</t>
  </si>
  <si>
    <t>(|φ|) x = x + 3 (|x ≤ y|)</t>
  </si>
  <si>
    <t>(|x+3 ≤ y|) x = x + 3 (|x ≤ y|)</t>
  </si>
  <si>
    <t>A  y ≥ x + 3   B  (y &gt; x) → (x + 3 &lt; y)     C  y ≥ x.      D y ≥ x + 1.</t>
  </si>
  <si>
    <t>(|φ|) x = 1; y = x + y (|x ≤ y|)</t>
  </si>
  <si>
    <t>(|1≤1+y|) x = 1;(|x≤x+y|) y = x + y (|x ≤ y|)</t>
  </si>
  <si>
    <t>y'=ky</t>
  </si>
  <si>
    <t>y=Ce^(kx)</t>
  </si>
  <si>
    <t>y_10=Ce^(k(x+10))</t>
  </si>
  <si>
    <t>e^(k*10)=2</t>
  </si>
  <si>
    <t>(c ∧ ¬b) → ¬t</t>
  </si>
  <si>
    <t>k*10=ln(2)</t>
  </si>
  <si>
    <t>k=ln(2)/10</t>
  </si>
  <si>
    <t>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</si>
</sst>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m/d"/>
    <numFmt numFmtId="181" formatCode="#\ ?/?"/>
  </numFmts>
  <fonts count="50">
    <font>
      <sz val="10"/>
      <color rgb="FF000000"/>
      <name val="Arial"/>
      <charset val="134"/>
      <scheme val="minor"/>
    </font>
    <font>
      <sz val="30"/>
      <color theme="1"/>
      <name val="Arial"/>
      <charset val="134"/>
      <scheme val="minor"/>
    </font>
    <font>
      <sz val="29"/>
      <color rgb="FF000000"/>
      <name val="Arial"/>
      <charset val="134"/>
    </font>
    <font>
      <sz val="10"/>
      <color theme="1"/>
      <name val="Arial"/>
      <charset val="134"/>
      <scheme val="minor"/>
    </font>
    <font>
      <sz val="30"/>
      <color rgb="FF0000FF"/>
      <name val="Arial"/>
      <charset val="134"/>
      <scheme val="minor"/>
    </font>
    <font>
      <sz val="30"/>
      <color rgb="FFFF0000"/>
      <name val="Arial"/>
      <charset val="134"/>
      <scheme val="minor"/>
    </font>
    <font>
      <sz val="29"/>
      <color rgb="FF0000FF"/>
      <name val="&quot;Arial&quot;"/>
      <charset val="134"/>
    </font>
    <font>
      <sz val="29"/>
      <color rgb="FFFF0000"/>
      <name val="&quot;Arial&quot;"/>
      <charset val="134"/>
    </font>
    <font>
      <sz val="30"/>
      <color rgb="FFA64D79"/>
      <name val="Arial"/>
      <charset val="134"/>
      <scheme val="minor"/>
    </font>
    <font>
      <sz val="10"/>
      <color rgb="FFA64D79"/>
      <name val="Arial"/>
      <charset val="134"/>
      <scheme val="minor"/>
    </font>
    <font>
      <sz val="29"/>
      <color rgb="FF000000"/>
      <name val="&quot;Arial&quot;"/>
      <charset val="134"/>
    </font>
    <font>
      <sz val="30"/>
      <color rgb="FF0000FF"/>
      <name val="Arial"/>
      <charset val="134"/>
    </font>
    <font>
      <sz val="30"/>
      <color rgb="FFFF0000"/>
      <name val="Arial"/>
      <charset val="134"/>
    </font>
    <font>
      <sz val="30"/>
      <color rgb="FF000000"/>
      <name val="Arial"/>
      <charset val="134"/>
      <scheme val="minor"/>
    </font>
    <font>
      <sz val="30"/>
      <color theme="1"/>
      <name val="Arial"/>
      <charset val="134"/>
    </font>
    <font>
      <sz val="30"/>
      <color rgb="FF000000"/>
      <name val="Arial"/>
      <charset val="134"/>
    </font>
    <font>
      <sz val="10"/>
      <color rgb="FFFF0000"/>
      <name val="Arial"/>
      <charset val="134"/>
      <scheme val="minor"/>
    </font>
    <font>
      <sz val="40"/>
      <color rgb="FF0000FF"/>
      <name val="Arial"/>
      <charset val="134"/>
      <scheme val="minor"/>
    </font>
    <font>
      <sz val="40"/>
      <color theme="1"/>
      <name val="Arial"/>
      <charset val="134"/>
      <scheme val="minor"/>
    </font>
    <font>
      <sz val="40"/>
      <color rgb="FFFF0000"/>
      <name val="Arial"/>
      <charset val="134"/>
      <scheme val="minor"/>
    </font>
    <font>
      <sz val="10"/>
      <color theme="1"/>
      <name val="Arial"/>
      <charset val="134"/>
    </font>
    <font>
      <b/>
      <sz val="14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11A9CC"/>
      <name val="Arial"/>
      <charset val="134"/>
      <scheme val="minor"/>
    </font>
    <font>
      <b/>
      <sz val="18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7E3794"/>
      <name val="Arial"/>
      <charset val="134"/>
      <scheme val="minor"/>
    </font>
    <font>
      <sz val="11"/>
      <color rgb="FF65B045"/>
      <name val="Arial"/>
      <charset val="134"/>
      <scheme val="minor"/>
    </font>
    <font>
      <sz val="11"/>
      <color rgb="FF000000"/>
      <name val="Inconsolata"/>
      <charset val="134"/>
    </font>
    <font>
      <b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0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178" fontId="30" fillId="0" borderId="0" applyFont="0" applyFill="0" applyBorder="0" applyAlignment="0" applyProtection="0">
      <alignment vertical="center"/>
    </xf>
    <xf numFmtId="179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6" borderId="5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38" fillId="0" borderId="7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7" borderId="8" applyNumberFormat="0" applyAlignment="0" applyProtection="0">
      <alignment vertical="center"/>
    </xf>
    <xf numFmtId="0" fontId="40" fillId="8" borderId="9" applyNumberFormat="0" applyAlignment="0" applyProtection="0">
      <alignment vertical="center"/>
    </xf>
    <xf numFmtId="0" fontId="41" fillId="8" borderId="8" applyNumberFormat="0" applyAlignment="0" applyProtection="0">
      <alignment vertical="center"/>
    </xf>
    <xf numFmtId="0" fontId="42" fillId="9" borderId="10" applyNumberFormat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</cellStyleXfs>
  <cellXfs count="61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>
      <alignment horizontal="left"/>
    </xf>
    <xf numFmtId="0" fontId="3" fillId="0" borderId="0" xfId="0" applyFont="1" applyAlignment="1"/>
    <xf numFmtId="0" fontId="3" fillId="0" borderId="0" xfId="0" applyFont="1"/>
    <xf numFmtId="0" fontId="1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4" fillId="0" borderId="0" xfId="0" applyFont="1"/>
    <xf numFmtId="0" fontId="8" fillId="0" borderId="0" xfId="0" applyFont="1" applyAlignment="1"/>
    <xf numFmtId="0" fontId="8" fillId="0" borderId="0" xfId="0" applyFont="1"/>
    <xf numFmtId="0" fontId="9" fillId="0" borderId="0" xfId="0" applyFont="1"/>
    <xf numFmtId="0" fontId="10" fillId="0" borderId="0" xfId="0" applyFont="1" applyAlignment="1"/>
    <xf numFmtId="0" fontId="5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" fillId="0" borderId="0" xfId="0" applyFont="1" applyAlignment="1">
      <alignment horizontal="left"/>
    </xf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/>
    <xf numFmtId="0" fontId="17" fillId="0" borderId="0" xfId="0" applyFont="1" applyAlignment="1"/>
    <xf numFmtId="0" fontId="18" fillId="0" borderId="0" xfId="0" applyFont="1"/>
    <xf numFmtId="0" fontId="19" fillId="0" borderId="0" xfId="0" applyFont="1" applyAlignment="1"/>
    <xf numFmtId="0" fontId="18" fillId="0" borderId="0" xfId="0" applyFont="1" applyAlignment="1"/>
    <xf numFmtId="0" fontId="20" fillId="0" borderId="0" xfId="0" applyFont="1" applyAlignment="1"/>
    <xf numFmtId="0" fontId="21" fillId="0" borderId="0" xfId="0" applyFont="1" applyAlignment="1"/>
    <xf numFmtId="0" fontId="22" fillId="0" borderId="0" xfId="0" applyFont="1" applyAlignment="1"/>
    <xf numFmtId="0" fontId="22" fillId="0" borderId="1" xfId="0" applyFont="1" applyBorder="1" applyAlignment="1"/>
    <xf numFmtId="0" fontId="22" fillId="3" borderId="1" xfId="0" applyFont="1" applyFill="1" applyBorder="1" applyAlignment="1"/>
    <xf numFmtId="0" fontId="22" fillId="0" borderId="1" xfId="0" applyFont="1" applyBorder="1" applyAlignment="1">
      <alignment horizontal="right"/>
    </xf>
    <xf numFmtId="0" fontId="22" fillId="3" borderId="1" xfId="0" applyFont="1" applyFill="1" applyBorder="1" applyAlignment="1">
      <alignment horizontal="right"/>
    </xf>
    <xf numFmtId="0" fontId="23" fillId="0" borderId="0" xfId="0" applyFont="1" applyAlignment="1"/>
    <xf numFmtId="0" fontId="22" fillId="4" borderId="1" xfId="0" applyFont="1" applyFill="1" applyBorder="1" applyAlignment="1"/>
    <xf numFmtId="0" fontId="22" fillId="4" borderId="1" xfId="0" applyFont="1" applyFill="1" applyBorder="1" applyAlignment="1">
      <alignment horizontal="right"/>
    </xf>
    <xf numFmtId="0" fontId="24" fillId="0" borderId="0" xfId="0" applyFont="1" applyAlignment="1"/>
    <xf numFmtId="0" fontId="24" fillId="0" borderId="0" xfId="0" applyFont="1" applyAlignment="1">
      <alignment horizontal="right"/>
    </xf>
    <xf numFmtId="180" fontId="24" fillId="0" borderId="0" xfId="0" applyNumberFormat="1" applyFont="1" applyAlignment="1">
      <alignment horizontal="right"/>
    </xf>
    <xf numFmtId="0" fontId="25" fillId="0" borderId="0" xfId="0" applyFont="1" applyAlignment="1"/>
    <xf numFmtId="0" fontId="3" fillId="0" borderId="1" xfId="0" applyFont="1" applyBorder="1" applyAlignment="1"/>
    <xf numFmtId="0" fontId="22" fillId="5" borderId="1" xfId="0" applyFont="1" applyFill="1" applyBorder="1" applyAlignment="1"/>
    <xf numFmtId="181" fontId="3" fillId="0" borderId="1" xfId="0" applyNumberFormat="1" applyFont="1" applyBorder="1"/>
    <xf numFmtId="0" fontId="3" fillId="0" borderId="1" xfId="0" applyFont="1" applyBorder="1"/>
    <xf numFmtId="0" fontId="3" fillId="5" borderId="1" xfId="0" applyFont="1" applyFill="1" applyBorder="1" applyAlignment="1"/>
    <xf numFmtId="0" fontId="26" fillId="0" borderId="0" xfId="0" applyFont="1" applyAlignment="1"/>
    <xf numFmtId="0" fontId="27" fillId="0" borderId="0" xfId="0" applyFont="1" applyAlignment="1"/>
    <xf numFmtId="0" fontId="25" fillId="0" borderId="1" xfId="0" applyFont="1" applyBorder="1" applyAlignment="1">
      <alignment horizontal="right"/>
    </xf>
    <xf numFmtId="0" fontId="22" fillId="3" borderId="0" xfId="0" applyFont="1" applyFill="1" applyAlignment="1"/>
    <xf numFmtId="0" fontId="22" fillId="0" borderId="2" xfId="0" applyFont="1" applyBorder="1" applyAlignment="1"/>
    <xf numFmtId="0" fontId="22" fillId="0" borderId="3" xfId="0" applyFont="1" applyBorder="1" applyAlignment="1">
      <alignment horizontal="right"/>
    </xf>
    <xf numFmtId="0" fontId="22" fillId="0" borderId="4" xfId="0" applyFont="1" applyBorder="1" applyAlignment="1"/>
    <xf numFmtId="0" fontId="22" fillId="4" borderId="2" xfId="0" applyFont="1" applyFill="1" applyBorder="1" applyAlignment="1"/>
    <xf numFmtId="0" fontId="22" fillId="4" borderId="3" xfId="0" applyFont="1" applyFill="1" applyBorder="1" applyAlignment="1">
      <alignment horizontal="right"/>
    </xf>
    <xf numFmtId="0" fontId="22" fillId="0" borderId="0" xfId="0" applyFont="1"/>
    <xf numFmtId="0" fontId="22" fillId="5" borderId="0" xfId="0" applyFont="1" applyFill="1" applyAlignment="1"/>
    <xf numFmtId="0" fontId="28" fillId="2" borderId="0" xfId="0" applyFont="1" applyFill="1"/>
    <xf numFmtId="0" fontId="22" fillId="0" borderId="0" xfId="0" applyFont="1" applyAlignment="1">
      <alignment horizontal="right"/>
    </xf>
    <xf numFmtId="0" fontId="29" fillId="0" borderId="1" xfId="0" applyFont="1" applyBorder="1"/>
    <xf numFmtId="0" fontId="29" fillId="0" borderId="1" xfId="0" applyFont="1" applyBorder="1" applyAlignment="1"/>
    <xf numFmtId="0" fontId="3" fillId="0" borderId="0" xfId="0" applyFont="1" applyAlignment="1" quotePrefix="1"/>
    <xf numFmtId="0" fontId="1" fillId="0" borderId="0" xfId="0" applyFont="1" applyAlignment="1" quotePrefix="1"/>
    <xf numFmtId="0" fontId="1" fillId="0" borderId="0" xfId="0" applyFont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43"/>
  <sheetViews>
    <sheetView topLeftCell="A32" workbookViewId="0">
      <selection activeCell="A1" sqref="A1"/>
    </sheetView>
  </sheetViews>
  <sheetFormatPr defaultColWidth="12.6296296296296" defaultRowHeight="15.75" customHeight="1"/>
  <cols>
    <col min="1" max="6" width="5.87962962962963" customWidth="1"/>
    <col min="7" max="7" width="7.62962962962963" customWidth="1"/>
    <col min="8" max="10" width="5.87962962962963" customWidth="1"/>
    <col min="11" max="11" width="8.87962962962963" customWidth="1"/>
    <col min="12" max="21" width="5.87962962962963" customWidth="1"/>
  </cols>
  <sheetData>
    <row r="1" customHeight="1" spans="1:21">
      <c r="A1" s="28" t="s">
        <v>0</v>
      </c>
      <c r="B1" s="28" t="s">
        <v>1</v>
      </c>
      <c r="C1" s="28"/>
      <c r="D1" s="28"/>
      <c r="E1" s="28"/>
      <c r="F1" s="28"/>
      <c r="G1" s="28"/>
      <c r="H1" s="28"/>
      <c r="I1" s="28"/>
      <c r="J1" s="28"/>
      <c r="K1" s="28" t="s">
        <v>2</v>
      </c>
      <c r="M1" s="28" t="s">
        <v>3</v>
      </c>
      <c r="N1" s="28" t="s">
        <v>1</v>
      </c>
      <c r="P1" s="28" t="s">
        <v>4</v>
      </c>
      <c r="Q1" s="28"/>
      <c r="R1" s="28"/>
      <c r="T1" s="28" t="s">
        <v>0</v>
      </c>
      <c r="U1" s="28" t="s">
        <v>5</v>
      </c>
    </row>
    <row r="2" customHeight="1" spans="1:21">
      <c r="A2" s="29"/>
      <c r="B2" s="29"/>
      <c r="C2" s="29"/>
      <c r="D2" s="29"/>
      <c r="E2" s="29"/>
      <c r="F2" s="29"/>
      <c r="G2" s="29"/>
      <c r="H2" s="29"/>
      <c r="I2" s="29"/>
      <c r="J2" s="3" t="s">
        <v>6</v>
      </c>
      <c r="K2" s="4" t="s">
        <v>7</v>
      </c>
      <c r="L2" s="29"/>
      <c r="M2" s="29"/>
      <c r="N2" s="29"/>
      <c r="T2" s="29"/>
      <c r="U2" s="29"/>
    </row>
    <row r="3" customHeight="1" spans="1:21">
      <c r="A3" s="29"/>
      <c r="B3" s="29"/>
      <c r="C3" s="29"/>
      <c r="D3" s="29"/>
      <c r="E3" s="29"/>
      <c r="F3" s="29"/>
      <c r="G3" s="29"/>
      <c r="H3" s="29"/>
      <c r="I3" s="29"/>
      <c r="J3" s="29" t="str">
        <f t="array" ref="J3">INDEX(B4:H4,MATCH(MIN(B9:H9),B9:H9,0))</f>
        <v>y</v>
      </c>
      <c r="K3" s="29" t="str">
        <f t="array" ref="K3">INDEX(A5:A8,MATCH(_xlfn.MINIFS(J5:J8,J5:J8,"&gt;0"),J5:J8,0))</f>
        <v>a1</v>
      </c>
      <c r="L3" s="29"/>
      <c r="M3" s="29"/>
      <c r="N3" s="29"/>
      <c r="O3" s="29"/>
      <c r="P3" s="29"/>
      <c r="Q3" s="29"/>
      <c r="R3" s="29"/>
      <c r="S3" s="29"/>
      <c r="T3" s="29"/>
      <c r="U3" s="29"/>
    </row>
    <row r="4" customHeight="1" spans="1:22">
      <c r="A4" s="30" t="s">
        <v>8</v>
      </c>
      <c r="B4" s="30" t="s">
        <v>9</v>
      </c>
      <c r="C4" s="30" t="s">
        <v>10</v>
      </c>
      <c r="D4" s="30" t="s">
        <v>11</v>
      </c>
      <c r="E4" s="30" t="s">
        <v>12</v>
      </c>
      <c r="F4" s="30" t="s">
        <v>13</v>
      </c>
      <c r="G4" s="30" t="s">
        <v>14</v>
      </c>
      <c r="H4" s="30" t="s">
        <v>15</v>
      </c>
      <c r="I4" s="30" t="s">
        <v>16</v>
      </c>
      <c r="J4" s="31" t="s">
        <v>17</v>
      </c>
      <c r="K4" s="42"/>
      <c r="M4" s="30" t="s">
        <v>8</v>
      </c>
      <c r="N4" s="52" t="s">
        <v>9</v>
      </c>
      <c r="O4" s="52" t="s">
        <v>10</v>
      </c>
      <c r="P4" s="52" t="s">
        <v>11</v>
      </c>
      <c r="Q4" s="52" t="s">
        <v>12</v>
      </c>
      <c r="R4" s="52" t="s">
        <v>13</v>
      </c>
      <c r="S4" s="52" t="s">
        <v>14</v>
      </c>
      <c r="T4" s="52" t="s">
        <v>15</v>
      </c>
      <c r="U4" s="52" t="s">
        <v>16</v>
      </c>
      <c r="V4" s="29" t="s">
        <v>17</v>
      </c>
    </row>
    <row r="5" customHeight="1" spans="1:22">
      <c r="A5" s="30" t="s">
        <v>11</v>
      </c>
      <c r="B5" s="32">
        <v>2</v>
      </c>
      <c r="C5" s="32">
        <v>3</v>
      </c>
      <c r="D5" s="32">
        <v>-1</v>
      </c>
      <c r="E5" s="32">
        <v>0</v>
      </c>
      <c r="F5" s="32">
        <v>0</v>
      </c>
      <c r="G5" s="32">
        <v>0</v>
      </c>
      <c r="H5" s="32">
        <v>0</v>
      </c>
      <c r="I5" s="32">
        <v>6</v>
      </c>
      <c r="J5" s="33">
        <f>I5/HLOOKUP($J$3,$B$4:$H$9,ROWS($C$4:$C5),0)</f>
        <v>2</v>
      </c>
      <c r="K5" s="42"/>
      <c r="M5" s="50" t="s">
        <v>11</v>
      </c>
      <c r="N5" s="51">
        <v>2</v>
      </c>
      <c r="O5" s="51">
        <v>3</v>
      </c>
      <c r="P5" s="51">
        <v>-1</v>
      </c>
      <c r="Q5" s="51">
        <v>0</v>
      </c>
      <c r="R5" s="51">
        <v>0</v>
      </c>
      <c r="S5" s="51">
        <v>0</v>
      </c>
      <c r="T5" s="51">
        <v>0</v>
      </c>
      <c r="U5" s="51">
        <v>6</v>
      </c>
      <c r="V5" s="58">
        <v>2</v>
      </c>
    </row>
    <row r="6" customHeight="1" spans="1:22">
      <c r="A6" s="30" t="s">
        <v>12</v>
      </c>
      <c r="B6" s="32">
        <v>3</v>
      </c>
      <c r="C6" s="32">
        <v>-1</v>
      </c>
      <c r="D6" s="32">
        <v>0</v>
      </c>
      <c r="E6" s="32">
        <v>1</v>
      </c>
      <c r="F6" s="32">
        <v>0</v>
      </c>
      <c r="G6" s="32">
        <v>0</v>
      </c>
      <c r="H6" s="32">
        <v>0</v>
      </c>
      <c r="I6" s="32">
        <v>15</v>
      </c>
      <c r="J6" s="33">
        <f>I6/HLOOKUP($J$3,$B$4:$H$9,ROWS($C$4:$C6),0)</f>
        <v>-15</v>
      </c>
      <c r="K6" s="42"/>
      <c r="M6" s="50" t="s">
        <v>12</v>
      </c>
      <c r="N6" s="51">
        <v>3</v>
      </c>
      <c r="O6" s="51">
        <v>-1</v>
      </c>
      <c r="P6" s="51">
        <v>0</v>
      </c>
      <c r="Q6" s="51">
        <v>1</v>
      </c>
      <c r="R6" s="51">
        <v>0</v>
      </c>
      <c r="S6" s="51">
        <v>0</v>
      </c>
      <c r="T6" s="51">
        <v>0</v>
      </c>
      <c r="U6" s="51">
        <v>15</v>
      </c>
      <c r="V6" s="58">
        <v>-15</v>
      </c>
    </row>
    <row r="7" customHeight="1" spans="1:22">
      <c r="A7" s="30" t="s">
        <v>13</v>
      </c>
      <c r="B7" s="32">
        <v>-1</v>
      </c>
      <c r="C7" s="32">
        <v>1</v>
      </c>
      <c r="D7" s="32">
        <v>0</v>
      </c>
      <c r="E7" s="32">
        <v>0</v>
      </c>
      <c r="F7" s="32">
        <v>1</v>
      </c>
      <c r="G7" s="32">
        <v>0</v>
      </c>
      <c r="H7" s="32">
        <v>0</v>
      </c>
      <c r="I7" s="32">
        <v>4</v>
      </c>
      <c r="J7" s="33">
        <f>I7/HLOOKUP($J$3,$B$4:$H$9,ROWS($C$4:$C7),0)</f>
        <v>4</v>
      </c>
      <c r="K7" s="42"/>
      <c r="M7" s="50" t="s">
        <v>13</v>
      </c>
      <c r="N7" s="51">
        <v>-1</v>
      </c>
      <c r="O7" s="51">
        <v>1</v>
      </c>
      <c r="P7" s="51">
        <v>0</v>
      </c>
      <c r="Q7" s="51">
        <v>0</v>
      </c>
      <c r="R7" s="51">
        <v>1</v>
      </c>
      <c r="S7" s="51">
        <v>0</v>
      </c>
      <c r="T7" s="51">
        <v>0</v>
      </c>
      <c r="U7" s="51">
        <v>4</v>
      </c>
      <c r="V7" s="58">
        <v>4</v>
      </c>
    </row>
    <row r="8" customHeight="1" spans="1:22">
      <c r="A8" s="30" t="s">
        <v>14</v>
      </c>
      <c r="B8" s="32">
        <v>2</v>
      </c>
      <c r="C8" s="32">
        <v>5</v>
      </c>
      <c r="D8" s="32">
        <v>0</v>
      </c>
      <c r="E8" s="32">
        <v>0</v>
      </c>
      <c r="F8" s="32">
        <v>0</v>
      </c>
      <c r="G8" s="32">
        <v>1</v>
      </c>
      <c r="H8" s="32">
        <v>0</v>
      </c>
      <c r="I8" s="32">
        <v>27</v>
      </c>
      <c r="J8" s="33">
        <f>I8/HLOOKUP($J$3,$B$4:$H$9,ROWS($C$4:$C8),0)</f>
        <v>5.4</v>
      </c>
      <c r="K8" s="42"/>
      <c r="M8" s="50" t="s">
        <v>14</v>
      </c>
      <c r="N8" s="51">
        <v>2</v>
      </c>
      <c r="O8" s="51">
        <v>5</v>
      </c>
      <c r="P8" s="51">
        <v>0</v>
      </c>
      <c r="Q8" s="51">
        <v>0</v>
      </c>
      <c r="R8" s="51">
        <v>0</v>
      </c>
      <c r="S8" s="51">
        <v>1</v>
      </c>
      <c r="T8" s="51">
        <v>0</v>
      </c>
      <c r="U8" s="51">
        <v>27</v>
      </c>
      <c r="V8" s="58">
        <v>5.4</v>
      </c>
    </row>
    <row r="9" customHeight="1" spans="1:22">
      <c r="A9" s="30" t="s">
        <v>18</v>
      </c>
      <c r="B9" s="32">
        <v>-2</v>
      </c>
      <c r="C9" s="32">
        <v>-3</v>
      </c>
      <c r="D9" s="32">
        <v>0</v>
      </c>
      <c r="E9" s="32">
        <v>0</v>
      </c>
      <c r="F9" s="32">
        <v>0</v>
      </c>
      <c r="G9" s="32">
        <v>0</v>
      </c>
      <c r="H9" s="32">
        <v>1</v>
      </c>
      <c r="I9" s="32">
        <v>0</v>
      </c>
      <c r="J9" s="33"/>
      <c r="K9" s="42"/>
      <c r="M9" s="50" t="s">
        <v>18</v>
      </c>
      <c r="N9" s="51">
        <v>2</v>
      </c>
      <c r="O9" s="51">
        <v>3</v>
      </c>
      <c r="P9" s="51">
        <v>0</v>
      </c>
      <c r="Q9" s="51">
        <v>0</v>
      </c>
      <c r="R9" s="51">
        <v>0</v>
      </c>
      <c r="S9" s="51">
        <v>0</v>
      </c>
      <c r="T9" s="51">
        <v>1</v>
      </c>
      <c r="U9" s="51">
        <v>0</v>
      </c>
      <c r="V9" s="29"/>
    </row>
    <row r="10" customHeight="1" spans="1:22">
      <c r="A10" s="29"/>
      <c r="B10" s="29"/>
      <c r="C10" s="29"/>
      <c r="D10" s="29"/>
      <c r="E10" s="29"/>
      <c r="F10" s="29"/>
      <c r="G10" s="29"/>
      <c r="H10" s="29"/>
      <c r="I10" s="29"/>
      <c r="J10" s="3" t="s">
        <v>6</v>
      </c>
      <c r="K10" s="4" t="s">
        <v>7</v>
      </c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 customHeight="1" spans="1:22">
      <c r="A11" s="29"/>
      <c r="B11" s="29" t="s">
        <v>19</v>
      </c>
      <c r="C11" s="29"/>
      <c r="D11" s="29" t="s">
        <v>20</v>
      </c>
      <c r="F11" s="29" t="s">
        <v>21</v>
      </c>
      <c r="G11" s="29"/>
      <c r="H11" s="29" t="s">
        <v>22</v>
      </c>
      <c r="I11" s="29"/>
      <c r="J11" s="29" t="str">
        <f t="array" ref="J11">INDEX(B12:H12,MATCH(MIN(B17:H17),B17:H17,0))</f>
        <v>a1</v>
      </c>
      <c r="K11" s="29" t="str">
        <f t="array" ref="K11">INDEX(A13:A16,MATCH(_xlfn.MINIFS(J13:J16,J13:J16,"&gt;0"),J13:J16,0))</f>
        <v>a3</v>
      </c>
      <c r="M11" s="29"/>
      <c r="N11" s="29"/>
      <c r="O11" s="29"/>
      <c r="P11" s="29"/>
      <c r="Q11" s="29"/>
      <c r="R11" s="29"/>
      <c r="S11" s="29"/>
      <c r="T11" s="29"/>
      <c r="U11" s="29"/>
      <c r="V11" s="29"/>
    </row>
    <row r="12" customHeight="1" spans="1:22">
      <c r="A12" s="30" t="s">
        <v>8</v>
      </c>
      <c r="B12" s="30" t="s">
        <v>9</v>
      </c>
      <c r="C12" s="30" t="s">
        <v>10</v>
      </c>
      <c r="D12" s="30" t="s">
        <v>11</v>
      </c>
      <c r="E12" s="30" t="s">
        <v>12</v>
      </c>
      <c r="F12" s="30" t="s">
        <v>13</v>
      </c>
      <c r="G12" s="30" t="s">
        <v>14</v>
      </c>
      <c r="H12" s="30" t="s">
        <v>15</v>
      </c>
      <c r="I12" s="30" t="s">
        <v>16</v>
      </c>
      <c r="J12" s="31" t="s">
        <v>17</v>
      </c>
      <c r="K12" s="45" t="s">
        <v>23</v>
      </c>
      <c r="M12" s="30" t="s">
        <v>8</v>
      </c>
      <c r="N12" s="52" t="s">
        <v>9</v>
      </c>
      <c r="O12" s="52" t="s">
        <v>10</v>
      </c>
      <c r="P12" s="52" t="s">
        <v>11</v>
      </c>
      <c r="Q12" s="52" t="s">
        <v>12</v>
      </c>
      <c r="R12" s="52" t="s">
        <v>13</v>
      </c>
      <c r="S12" s="52" t="s">
        <v>14</v>
      </c>
      <c r="T12" s="52" t="s">
        <v>15</v>
      </c>
      <c r="U12" s="52" t="s">
        <v>16</v>
      </c>
      <c r="V12" s="29"/>
    </row>
    <row r="13" customHeight="1" spans="1:22">
      <c r="A13" s="35" t="s">
        <v>10</v>
      </c>
      <c r="B13" s="36">
        <f>IF($A13=INDEX($J$3:$J$49,(FLOOR((ROW(J13)-3)/8,1)-1)*8+1,1),B5/$K13,B5-$K13*VLOOKUP(INDEX($J$3:$J$49,(FLOOR((ROW(J13)-3)/8,1)-1)*8+1,1),$A$13:$I$17,COLUMNS($A5:B5),0))</f>
        <v>0.666666666666667</v>
      </c>
      <c r="C13" s="36">
        <f>IF($A13=INDEX($J$3:$J$49,(FLOOR((ROW(K13)-3)/8,1)-1)*8+1,1),C5/$K13,C5-$K13*VLOOKUP(INDEX($J$3:$J$49,(FLOOR((ROW(K13)-3)/8,1)-1)*8+1,1),$A$13:$I$17,COLUMNS($A5:C5),0))</f>
        <v>1</v>
      </c>
      <c r="D13" s="36">
        <f>IF($A13=INDEX($J$3:$J$49,(FLOOR((ROW(L13)-3)/8,1)-1)*8+1,1),D5/$K13,D5-$K13*VLOOKUP(INDEX($J$3:$J$49,(FLOOR((ROW(L13)-3)/8,1)-1)*8+1,1),$A$13:$I$17,COLUMNS($A5:D5),0))</f>
        <v>-0.333333333333333</v>
      </c>
      <c r="E13" s="36">
        <f>IF($A13=INDEX($J$3:$J$49,(FLOOR((ROW(M13)-3)/8,1)-1)*8+1,1),E5/$K13,E5-$K13*VLOOKUP(INDEX($J$3:$J$49,(FLOOR((ROW(M13)-3)/8,1)-1)*8+1,1),$A$13:$I$17,COLUMNS($A5:E5),0))</f>
        <v>0</v>
      </c>
      <c r="F13" s="36">
        <f>IF($A13=INDEX($J$3:$J$49,(FLOOR((ROW(N13)-3)/8,1)-1)*8+1,1),F5/$K13,F5-$K13*VLOOKUP(INDEX($J$3:$J$49,(FLOOR((ROW(N13)-3)/8,1)-1)*8+1,1),$A$13:$I$17,COLUMNS($A5:F5),0))</f>
        <v>0</v>
      </c>
      <c r="G13" s="36">
        <f>IF($A13=INDEX($J$3:$J$49,(FLOOR((ROW(O13)-3)/8,1)-1)*8+1,1),G5/$K13,G5-$K13*VLOOKUP(INDEX($J$3:$J$49,(FLOOR((ROW(O13)-3)/8,1)-1)*8+1,1),$A$13:$I$17,COLUMNS($A5:G5),0))</f>
        <v>0</v>
      </c>
      <c r="H13" s="36">
        <f>IF($A13=INDEX($J$3:$J$49,(FLOOR((ROW(P13)-3)/8,1)-1)*8+1,1),H5/$K13,H5-$K13*VLOOKUP(INDEX($J$3:$J$49,(FLOOR((ROW(P13)-3)/8,1)-1)*8+1,1),$A$13:$I$17,COLUMNS($A5:H5),0))</f>
        <v>0</v>
      </c>
      <c r="I13" s="36">
        <f>IF($A13=INDEX($J$3:$J$49,(FLOOR((ROW(Q13)-3)/8,1)-1)*8+1,1),I5/$K13,I5-$K13*VLOOKUP(INDEX($J$3:$J$49,(FLOOR((ROW(Q13)-3)/8,1)-1)*8+1,1),$A$13:$I$17,COLUMNS($A5:I5),0))</f>
        <v>2</v>
      </c>
      <c r="J13" s="33">
        <f>I13/HLOOKUP($J$11,$B$12:$H$17,ROWS($C$12:$C13),0)</f>
        <v>-6</v>
      </c>
      <c r="K13" s="45">
        <f>HLOOKUP(INDEX($J$3:$J$49,(FLOOR((ROW(J13)-3)/8,1)-1)*8+1,1),$B$4:$H$9,ROWS($C$4:$C5),0)</f>
        <v>3</v>
      </c>
      <c r="M13" s="53" t="s">
        <v>10</v>
      </c>
      <c r="N13" s="54">
        <v>0.666667</v>
      </c>
      <c r="O13" s="54">
        <v>1</v>
      </c>
      <c r="P13" s="54">
        <v>-0.33333</v>
      </c>
      <c r="Q13" s="54">
        <v>0</v>
      </c>
      <c r="R13" s="54">
        <v>0</v>
      </c>
      <c r="S13" s="54">
        <v>0</v>
      </c>
      <c r="T13" s="54">
        <v>0</v>
      </c>
      <c r="U13" s="54">
        <v>2</v>
      </c>
      <c r="V13" s="29"/>
    </row>
    <row r="14" customHeight="1" spans="1:22">
      <c r="A14" s="30" t="s">
        <v>12</v>
      </c>
      <c r="B14" s="32">
        <f>IF($A14=INDEX($J$3:$J$49,(FLOOR((ROW(J14)-3)/8,1)-1)*8+1,1),B6/$K14,B6-$K14*VLOOKUP(INDEX($J$3:$J$49,(FLOOR((ROW(J14)-3)/8,1)-1)*8+1,1),$A$13:$I$17,COLUMNS($A6:B6),0))</f>
        <v>3.66666666666667</v>
      </c>
      <c r="C14" s="32">
        <f>IF($A14=INDEX($J$3:$J$49,(FLOOR((ROW(K14)-3)/8,1)-1)*8+1,1),C6/$K14,C6-$K14*VLOOKUP(INDEX($J$3:$J$49,(FLOOR((ROW(K14)-3)/8,1)-1)*8+1,1),$A$13:$I$17,COLUMNS($A6:C6),0))</f>
        <v>0</v>
      </c>
      <c r="D14" s="32">
        <f>IF($A14=INDEX($J$3:$J$49,(FLOOR((ROW(L14)-3)/8,1)-1)*8+1,1),D6/$K14,D6-$K14*VLOOKUP(INDEX($J$3:$J$49,(FLOOR((ROW(L14)-3)/8,1)-1)*8+1,1),$A$13:$I$17,COLUMNS($A6:D6),0))</f>
        <v>-0.333333333333333</v>
      </c>
      <c r="E14" s="32">
        <f>IF($A14=INDEX($J$3:$J$49,(FLOOR((ROW(M14)-3)/8,1)-1)*8+1,1),E6/$K14,E6-$K14*VLOOKUP(INDEX($J$3:$J$49,(FLOOR((ROW(M14)-3)/8,1)-1)*8+1,1),$A$13:$I$17,COLUMNS($A6:E6),0))</f>
        <v>1</v>
      </c>
      <c r="F14" s="32">
        <f>IF($A14=INDEX($J$3:$J$49,(FLOOR((ROW(N14)-3)/8,1)-1)*8+1,1),F6/$K14,F6-$K14*VLOOKUP(INDEX($J$3:$J$49,(FLOOR((ROW(N14)-3)/8,1)-1)*8+1,1),$A$13:$I$17,COLUMNS($A6:F6),0))</f>
        <v>0</v>
      </c>
      <c r="G14" s="32">
        <f>IF($A14=INDEX($J$3:$J$49,(FLOOR((ROW(O14)-3)/8,1)-1)*8+1,1),G6/$K14,G6-$K14*VLOOKUP(INDEX($J$3:$J$49,(FLOOR((ROW(O14)-3)/8,1)-1)*8+1,1),$A$13:$I$17,COLUMNS($A6:G6),0))</f>
        <v>0</v>
      </c>
      <c r="H14" s="32">
        <f>IF($A14=INDEX($J$3:$J$49,(FLOOR((ROW(P14)-3)/8,1)-1)*8+1,1),H6/$K14,H6-$K14*VLOOKUP(INDEX($J$3:$J$49,(FLOOR((ROW(P14)-3)/8,1)-1)*8+1,1),$A$13:$I$17,COLUMNS($A6:H6),0))</f>
        <v>0</v>
      </c>
      <c r="I14" s="32">
        <f>IF($A14=INDEX($J$3:$J$49,(FLOOR((ROW(Q14)-3)/8,1)-1)*8+1,1),I6/$K14,I6-$K14*VLOOKUP(INDEX($J$3:$J$49,(FLOOR((ROW(Q14)-3)/8,1)-1)*8+1,1),$A$13:$I$17,COLUMNS($A6:I6),0))</f>
        <v>17</v>
      </c>
      <c r="J14" s="33">
        <f>I14/HLOOKUP($J$11,$B$12:$H$17,ROWS($C$12:$C14),0)</f>
        <v>-51</v>
      </c>
      <c r="K14" s="45">
        <f>HLOOKUP(INDEX($J$3:$J$49,(FLOOR((ROW(J14)-3)/8,1)-1)*8+1,1),$B$4:$H$9,ROWS($C$4:$C6),0)</f>
        <v>-1</v>
      </c>
      <c r="M14" s="50" t="s">
        <v>12</v>
      </c>
      <c r="N14" s="51">
        <v>3.666667</v>
      </c>
      <c r="O14" s="51">
        <v>0</v>
      </c>
      <c r="P14" s="51">
        <v>-0.33333</v>
      </c>
      <c r="Q14" s="51">
        <v>1</v>
      </c>
      <c r="R14" s="51">
        <v>0</v>
      </c>
      <c r="S14" s="51">
        <v>0</v>
      </c>
      <c r="T14" s="51">
        <v>0</v>
      </c>
      <c r="U14" s="51">
        <v>17</v>
      </c>
      <c r="V14" s="29"/>
    </row>
    <row r="15" customHeight="1" spans="1:22">
      <c r="A15" s="30" t="s">
        <v>13</v>
      </c>
      <c r="B15" s="32">
        <f>IF($A15=INDEX($J$3:$J$49,(FLOOR((ROW(J15)-3)/8,1)-1)*8+1,1),B7/$K15,B7-$K15*VLOOKUP(INDEX($J$3:$J$49,(FLOOR((ROW(J15)-3)/8,1)-1)*8+1,1),$A$13:$I$17,COLUMNS($A7:B7),0))</f>
        <v>-1.66666666666667</v>
      </c>
      <c r="C15" s="32">
        <f>IF($A15=INDEX($J$3:$J$49,(FLOOR((ROW(K15)-3)/8,1)-1)*8+1,1),C7/$K15,C7-$K15*VLOOKUP(INDEX($J$3:$J$49,(FLOOR((ROW(K15)-3)/8,1)-1)*8+1,1),$A$13:$I$17,COLUMNS($A7:C7),0))</f>
        <v>0</v>
      </c>
      <c r="D15" s="32">
        <f>IF($A15=INDEX($J$3:$J$49,(FLOOR((ROW(L15)-3)/8,1)-1)*8+1,1),D7/$K15,D7-$K15*VLOOKUP(INDEX($J$3:$J$49,(FLOOR((ROW(L15)-3)/8,1)-1)*8+1,1),$A$13:$I$17,COLUMNS($A7:D7),0))</f>
        <v>0.333333333333333</v>
      </c>
      <c r="E15" s="32">
        <f>IF($A15=INDEX($J$3:$J$49,(FLOOR((ROW(M15)-3)/8,1)-1)*8+1,1),E7/$K15,E7-$K15*VLOOKUP(INDEX($J$3:$J$49,(FLOOR((ROW(M15)-3)/8,1)-1)*8+1,1),$A$13:$I$17,COLUMNS($A7:E7),0))</f>
        <v>0</v>
      </c>
      <c r="F15" s="32">
        <f>IF($A15=INDEX($J$3:$J$49,(FLOOR((ROW(N15)-3)/8,1)-1)*8+1,1),F7/$K15,F7-$K15*VLOOKUP(INDEX($J$3:$J$49,(FLOOR((ROW(N15)-3)/8,1)-1)*8+1,1),$A$13:$I$17,COLUMNS($A7:F7),0))</f>
        <v>1</v>
      </c>
      <c r="G15" s="32">
        <f>IF($A15=INDEX($J$3:$J$49,(FLOOR((ROW(O15)-3)/8,1)-1)*8+1,1),G7/$K15,G7-$K15*VLOOKUP(INDEX($J$3:$J$49,(FLOOR((ROW(O15)-3)/8,1)-1)*8+1,1),$A$13:$I$17,COLUMNS($A7:G7),0))</f>
        <v>0</v>
      </c>
      <c r="H15" s="32">
        <f>IF($A15=INDEX($J$3:$J$49,(FLOOR((ROW(P15)-3)/8,1)-1)*8+1,1),H7/$K15,H7-$K15*VLOOKUP(INDEX($J$3:$J$49,(FLOOR((ROW(P15)-3)/8,1)-1)*8+1,1),$A$13:$I$17,COLUMNS($A7:H7),0))</f>
        <v>0</v>
      </c>
      <c r="I15" s="32">
        <f>IF($A15=INDEX($J$3:$J$49,(FLOOR((ROW(Q15)-3)/8,1)-1)*8+1,1),I7/$K15,I7-$K15*VLOOKUP(INDEX($J$3:$J$49,(FLOOR((ROW(Q15)-3)/8,1)-1)*8+1,1),$A$13:$I$17,COLUMNS($A7:I7),0))</f>
        <v>2</v>
      </c>
      <c r="J15" s="33">
        <f>I15/HLOOKUP($J$11,$B$12:$H$17,ROWS($C$12:$C15),0)</f>
        <v>6</v>
      </c>
      <c r="K15" s="45">
        <f>HLOOKUP(INDEX($J$3:$J$49,(FLOOR((ROW(J15)-3)/8,1)-1)*8+1,1),$B$4:$H$9,ROWS($C$4:$C7),0)</f>
        <v>1</v>
      </c>
      <c r="M15" s="50" t="s">
        <v>13</v>
      </c>
      <c r="N15" s="51">
        <v>-1.66667</v>
      </c>
      <c r="O15" s="51">
        <v>0</v>
      </c>
      <c r="P15" s="51">
        <v>0.333333</v>
      </c>
      <c r="Q15" s="51">
        <v>0</v>
      </c>
      <c r="R15" s="51">
        <v>1</v>
      </c>
      <c r="S15" s="51">
        <v>0</v>
      </c>
      <c r="T15" s="51">
        <v>0</v>
      </c>
      <c r="U15" s="51">
        <v>2</v>
      </c>
      <c r="V15" s="29"/>
    </row>
    <row r="16" customHeight="1" spans="1:22">
      <c r="A16" s="30" t="s">
        <v>14</v>
      </c>
      <c r="B16" s="32">
        <f>IF($A16=INDEX($J$3:$J$49,(FLOOR((ROW(J16)-3)/8,1)-1)*8+1,1),B8/$K16,B8-$K16*VLOOKUP(INDEX($J$3:$J$49,(FLOOR((ROW(J16)-3)/8,1)-1)*8+1,1),$A$13:$I$17,COLUMNS($A8:B8),0))</f>
        <v>-1.33333333333333</v>
      </c>
      <c r="C16" s="32">
        <f>IF($A16=INDEX($J$3:$J$49,(FLOOR((ROW(K16)-3)/8,1)-1)*8+1,1),C8/$K16,C8-$K16*VLOOKUP(INDEX($J$3:$J$49,(FLOOR((ROW(K16)-3)/8,1)-1)*8+1,1),$A$13:$I$17,COLUMNS($A8:C8),0))</f>
        <v>0</v>
      </c>
      <c r="D16" s="32">
        <f>IF($A16=INDEX($J$3:$J$49,(FLOOR((ROW(L16)-3)/8,1)-1)*8+1,1),D8/$K16,D8-$K16*VLOOKUP(INDEX($J$3:$J$49,(FLOOR((ROW(L16)-3)/8,1)-1)*8+1,1),$A$13:$I$17,COLUMNS($A8:D8),0))</f>
        <v>1.66666666666667</v>
      </c>
      <c r="E16" s="32">
        <f>IF($A16=INDEX($J$3:$J$49,(FLOOR((ROW(M16)-3)/8,1)-1)*8+1,1),E8/$K16,E8-$K16*VLOOKUP(INDEX($J$3:$J$49,(FLOOR((ROW(M16)-3)/8,1)-1)*8+1,1),$A$13:$I$17,COLUMNS($A8:E8),0))</f>
        <v>0</v>
      </c>
      <c r="F16" s="32">
        <f>IF($A16=INDEX($J$3:$J$49,(FLOOR((ROW(N16)-3)/8,1)-1)*8+1,1),F8/$K16,F8-$K16*VLOOKUP(INDEX($J$3:$J$49,(FLOOR((ROW(N16)-3)/8,1)-1)*8+1,1),$A$13:$I$17,COLUMNS($A8:F8),0))</f>
        <v>0</v>
      </c>
      <c r="G16" s="32">
        <f>IF($A16=INDEX($J$3:$J$49,(FLOOR((ROW(O16)-3)/8,1)-1)*8+1,1),G8/$K16,G8-$K16*VLOOKUP(INDEX($J$3:$J$49,(FLOOR((ROW(O16)-3)/8,1)-1)*8+1,1),$A$13:$I$17,COLUMNS($A8:G8),0))</f>
        <v>1</v>
      </c>
      <c r="H16" s="32">
        <f>IF($A16=INDEX($J$3:$J$49,(FLOOR((ROW(P16)-3)/8,1)-1)*8+1,1),H8/$K16,H8-$K16*VLOOKUP(INDEX($J$3:$J$49,(FLOOR((ROW(P16)-3)/8,1)-1)*8+1,1),$A$13:$I$17,COLUMNS($A8:H8),0))</f>
        <v>0</v>
      </c>
      <c r="I16" s="32">
        <f>IF($A16=INDEX($J$3:$J$49,(FLOOR((ROW(Q16)-3)/8,1)-1)*8+1,1),I8/$K16,I8-$K16*VLOOKUP(INDEX($J$3:$J$49,(FLOOR((ROW(Q16)-3)/8,1)-1)*8+1,1),$A$13:$I$17,COLUMNS($A8:I8),0))</f>
        <v>17</v>
      </c>
      <c r="J16" s="33">
        <f>I16/HLOOKUP($J$11,$B$12:$H$17,ROWS($C$12:$C16),0)</f>
        <v>10.2</v>
      </c>
      <c r="K16" s="45">
        <f>HLOOKUP(INDEX($J$3:$J$49,(FLOOR((ROW(J16)-3)/8,1)-1)*8+1,1),$B$4:$H$9,ROWS($C$4:$C8),0)</f>
        <v>5</v>
      </c>
      <c r="M16" s="50" t="s">
        <v>14</v>
      </c>
      <c r="N16" s="51">
        <v>-1.33333</v>
      </c>
      <c r="O16" s="51">
        <v>0</v>
      </c>
      <c r="P16" s="51">
        <v>1.666667</v>
      </c>
      <c r="Q16" s="51">
        <v>0</v>
      </c>
      <c r="R16" s="51">
        <v>0</v>
      </c>
      <c r="S16" s="51">
        <v>1</v>
      </c>
      <c r="T16" s="51">
        <v>0</v>
      </c>
      <c r="U16" s="51">
        <v>17</v>
      </c>
      <c r="V16" s="29"/>
    </row>
    <row r="17" customHeight="1" spans="1:22">
      <c r="A17" s="30" t="s">
        <v>18</v>
      </c>
      <c r="B17" s="32">
        <f>IF($A17=INDEX($J$3:$J$49,(FLOOR((ROW(J17)-3)/8,1)-1)*8+1,1),B9/$K17,B9-$K17*VLOOKUP(INDEX($J$3:$J$49,(FLOOR((ROW(J17)-3)/8,1)-1)*8+1,1),$A$13:$I$17,COLUMNS($A9:B9),0))</f>
        <v>0</v>
      </c>
      <c r="C17" s="32">
        <f>IF($A17=INDEX($J$3:$J$49,(FLOOR((ROW(K17)-3)/8,1)-1)*8+1,1),C9/$K17,C9-$K17*VLOOKUP(INDEX($J$3:$J$49,(FLOOR((ROW(K17)-3)/8,1)-1)*8+1,1),$A$13:$I$17,COLUMNS($A9:C9),0))</f>
        <v>0</v>
      </c>
      <c r="D17" s="32">
        <f>IF($A17=INDEX($J$3:$J$49,(FLOOR((ROW(L17)-3)/8,1)-1)*8+1,1),D9/$K17,D9-$K17*VLOOKUP(INDEX($J$3:$J$49,(FLOOR((ROW(L17)-3)/8,1)-1)*8+1,1),$A$13:$I$17,COLUMNS($A9:D9),0))</f>
        <v>-1</v>
      </c>
      <c r="E17" s="32">
        <f>IF($A17=INDEX($J$3:$J$49,(FLOOR((ROW(M17)-3)/8,1)-1)*8+1,1),E9/$K17,E9-$K17*VLOOKUP(INDEX($J$3:$J$49,(FLOOR((ROW(M17)-3)/8,1)-1)*8+1,1),$A$13:$I$17,COLUMNS($A9:E9),0))</f>
        <v>0</v>
      </c>
      <c r="F17" s="32">
        <f>IF($A17=INDEX($J$3:$J$49,(FLOOR((ROW(N17)-3)/8,1)-1)*8+1,1),F9/$K17,F9-$K17*VLOOKUP(INDEX($J$3:$J$49,(FLOOR((ROW(N17)-3)/8,1)-1)*8+1,1),$A$13:$I$17,COLUMNS($A9:F9),0))</f>
        <v>0</v>
      </c>
      <c r="G17" s="32">
        <f>IF($A17=INDEX($J$3:$J$49,(FLOOR((ROW(O17)-3)/8,1)-1)*8+1,1),G9/$K17,G9-$K17*VLOOKUP(INDEX($J$3:$J$49,(FLOOR((ROW(O17)-3)/8,1)-1)*8+1,1),$A$13:$I$17,COLUMNS($A9:G9),0))</f>
        <v>0</v>
      </c>
      <c r="H17" s="32">
        <f>IF($A17=INDEX($J$3:$J$49,(FLOOR((ROW(P17)-3)/8,1)-1)*8+1,1),H9/$K17,H9-$K17*VLOOKUP(INDEX($J$3:$J$49,(FLOOR((ROW(P17)-3)/8,1)-1)*8+1,1),$A$13:$I$17,COLUMNS($A9:H9),0))</f>
        <v>1</v>
      </c>
      <c r="I17" s="32">
        <f>IF($A17=INDEX($J$3:$J$49,(FLOOR((ROW(Q17)-3)/8,1)-1)*8+1,1),I9/$K17,I9-$K17*VLOOKUP(INDEX($J$3:$J$49,(FLOOR((ROW(Q17)-3)/8,1)-1)*8+1,1),$A$13:$I$17,COLUMNS($A9:I9),0))</f>
        <v>6</v>
      </c>
      <c r="J17" s="31"/>
      <c r="K17" s="45">
        <f>HLOOKUP(INDEX($J$3:$J$49,(FLOOR((ROW(J17)-3)/8,1)-1)*8+1,1),$B$4:$H$9,ROWS($C$4:$C9),0)</f>
        <v>-3</v>
      </c>
      <c r="M17" s="50" t="s">
        <v>18</v>
      </c>
      <c r="N17" s="51">
        <v>0</v>
      </c>
      <c r="O17" s="51">
        <v>0</v>
      </c>
      <c r="P17" s="51">
        <v>1</v>
      </c>
      <c r="Q17" s="51">
        <v>0</v>
      </c>
      <c r="R17" s="51">
        <v>0</v>
      </c>
      <c r="S17" s="51">
        <v>0</v>
      </c>
      <c r="T17" s="51">
        <v>1</v>
      </c>
      <c r="U17" s="51">
        <v>-6</v>
      </c>
      <c r="V17" s="29"/>
    </row>
    <row r="18" customHeight="1" spans="1:22">
      <c r="A18" s="29"/>
      <c r="B18" s="29"/>
      <c r="C18" s="29"/>
      <c r="D18" s="29"/>
      <c r="E18" s="29"/>
      <c r="F18" s="29"/>
      <c r="G18" s="29"/>
      <c r="H18" s="29"/>
      <c r="I18" s="29"/>
      <c r="J18" s="3" t="s">
        <v>6</v>
      </c>
      <c r="K18" s="4" t="s">
        <v>7</v>
      </c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customHeight="1" spans="1:22">
      <c r="A19" s="29"/>
      <c r="B19" s="29"/>
      <c r="C19" s="29"/>
      <c r="D19" s="29"/>
      <c r="E19" s="29"/>
      <c r="F19" s="29"/>
      <c r="G19" s="29"/>
      <c r="H19" s="29"/>
      <c r="I19" s="29"/>
      <c r="J19" s="29" t="str">
        <f t="array" ref="J19">INDEX(B20:H20,MATCH(MIN(B25:H25),B25:H25,0))</f>
        <v>x</v>
      </c>
      <c r="K19" s="29" t="str">
        <f t="array" ref="K19">INDEX(A21:A24,MATCH(_xlfn.MINIFS(J21:J24,J21:J24,"&gt;0"),J21:J24,0))</f>
        <v>a4</v>
      </c>
      <c r="M19" s="37" t="s">
        <v>24</v>
      </c>
      <c r="N19" s="38">
        <v>0</v>
      </c>
      <c r="O19" s="38">
        <v>2</v>
      </c>
      <c r="P19" s="38">
        <v>0</v>
      </c>
      <c r="Q19" s="38">
        <v>17</v>
      </c>
      <c r="R19" s="38">
        <v>2</v>
      </c>
      <c r="S19" s="38">
        <v>17</v>
      </c>
      <c r="T19" s="38">
        <v>-6</v>
      </c>
      <c r="U19" s="40"/>
      <c r="V19" s="29"/>
    </row>
    <row r="20" customHeight="1" spans="1:22">
      <c r="A20" s="30" t="s">
        <v>8</v>
      </c>
      <c r="B20" s="30" t="s">
        <v>9</v>
      </c>
      <c r="C20" s="30" t="s">
        <v>10</v>
      </c>
      <c r="D20" s="30" t="s">
        <v>11</v>
      </c>
      <c r="E20" s="30" t="s">
        <v>12</v>
      </c>
      <c r="F20" s="30" t="s">
        <v>13</v>
      </c>
      <c r="G20" s="30" t="s">
        <v>14</v>
      </c>
      <c r="H20" s="30" t="s">
        <v>15</v>
      </c>
      <c r="I20" s="30" t="s">
        <v>16</v>
      </c>
      <c r="J20" s="31" t="s">
        <v>17</v>
      </c>
      <c r="K20" s="45" t="s">
        <v>23</v>
      </c>
      <c r="M20" s="55"/>
      <c r="N20" s="55"/>
      <c r="O20" s="55"/>
      <c r="P20" s="55"/>
      <c r="Q20" s="55"/>
      <c r="R20" s="55"/>
      <c r="S20" s="55"/>
      <c r="T20" s="55"/>
      <c r="U20" s="55"/>
      <c r="V20" s="29"/>
    </row>
    <row r="21" customHeight="1" spans="1:22">
      <c r="A21" s="30" t="s">
        <v>10</v>
      </c>
      <c r="B21" s="32">
        <f>IF($A21=INDEX($J$3:$J$49,(FLOOR((ROW(J20)-3)/8,1)-1)*8+1,1),B13/$K21,B13-$K21*VLOOKUP(INDEX($J$3:$J$49,(FLOOR((ROW(J20)-3)/8,1)-1)*8+1,1),$A$21:$I$25,COLUMNS($A13:B13),0))</f>
        <v>-1</v>
      </c>
      <c r="C21" s="32">
        <f>IF($A21=INDEX($J$3:$J$49,(FLOOR((ROW(K20)-3)/8,1)-1)*8+1,1),C13/$K21,C13-$K21*VLOOKUP(INDEX($J$3:$J$49,(FLOOR((ROW(K20)-3)/8,1)-1)*8+1,1),$A$21:$I$25,COLUMNS($A13:C13),0))</f>
        <v>1</v>
      </c>
      <c r="D21" s="32">
        <f>IF($A21=INDEX($J$3:$J$49,(FLOOR((ROW(L20)-3)/8,1)-1)*8+1,1),D13/$K21,D13-$K21*VLOOKUP(INDEX($J$3:$J$49,(FLOOR((ROW(L20)-3)/8,1)-1)*8+1,1),$A$21:$I$25,COLUMNS($A13:D13),0))</f>
        <v>0</v>
      </c>
      <c r="E21" s="32">
        <f>IF($A21=INDEX($J$3:$J$49,(FLOOR((ROW(M20)-3)/8,1)-1)*8+1,1),E13/$K21,E13-$K21*VLOOKUP(INDEX($J$3:$J$49,(FLOOR((ROW(M20)-3)/8,1)-1)*8+1,1),$A$21:$I$25,COLUMNS($A13:E13),0))</f>
        <v>0</v>
      </c>
      <c r="F21" s="32">
        <f>IF($A21=INDEX($J$3:$J$49,(FLOOR((ROW(N20)-3)/8,1)-1)*8+1,1),F13/$K21,F13-$K21*VLOOKUP(INDEX($J$3:$J$49,(FLOOR((ROW(N20)-3)/8,1)-1)*8+1,1),$A$21:$I$25,COLUMNS($A13:F13),0))</f>
        <v>1</v>
      </c>
      <c r="G21" s="32">
        <f>IF($A21=INDEX($J$3:$J$49,(FLOOR((ROW(O20)-3)/8,1)-1)*8+1,1),G13/$K21,G13-$K21*VLOOKUP(INDEX($J$3:$J$49,(FLOOR((ROW(O20)-3)/8,1)-1)*8+1,1),$A$21:$I$25,COLUMNS($A13:G13),0))</f>
        <v>0</v>
      </c>
      <c r="H21" s="32">
        <f>IF($A21=INDEX($J$3:$J$49,(FLOOR((ROW(P20)-3)/8,1)-1)*8+1,1),H13/$K21,H13-$K21*VLOOKUP(INDEX($J$3:$J$49,(FLOOR((ROW(P20)-3)/8,1)-1)*8+1,1),$A$21:$I$25,COLUMNS($A13:H13),0))</f>
        <v>0</v>
      </c>
      <c r="I21" s="32">
        <f>IF($A21=INDEX($J$3:$J$49,(FLOOR((ROW(Q20)-3)/8,1)-1)*8+1,1),I13/$K21,I13-$K21*VLOOKUP(INDEX($J$3:$J$49,(FLOOR((ROW(Q20)-3)/8,1)-1)*8+1,1),$A$21:$I$25,COLUMNS($A13:I13),0))</f>
        <v>4</v>
      </c>
      <c r="J21" s="33">
        <f t="shared" ref="J21:J24" si="0">I21/B21</f>
        <v>-4</v>
      </c>
      <c r="K21" s="45">
        <f>HLOOKUP(INDEX($J$3:$J$49,(FLOOR((ROW(J21)-3)/8,1)-1)*8+1,1),$B$12:$H$17,ROWS($C$12:$C13),0)</f>
        <v>-0.333333333333333</v>
      </c>
      <c r="M21" s="37" t="s">
        <v>25</v>
      </c>
      <c r="N21" s="29"/>
      <c r="O21" s="29"/>
      <c r="P21" s="29"/>
      <c r="Q21" s="29"/>
      <c r="R21" s="29"/>
      <c r="S21" s="29"/>
      <c r="T21" s="29"/>
      <c r="U21" s="29"/>
      <c r="V21" s="29"/>
    </row>
    <row r="22" customHeight="1" spans="1:21">
      <c r="A22" s="30" t="s">
        <v>12</v>
      </c>
      <c r="B22" s="32">
        <f>IF($A22=INDEX($J$3:$J$49,(FLOOR((ROW(J21)-3)/8,1)-1)*8+1,1),B14/$K22,B14-$K22*VLOOKUP(INDEX($J$3:$J$49,(FLOOR((ROW(J21)-3)/8,1)-1)*8+1,1),$A$21:$I$25,COLUMNS($A14:B14),0))</f>
        <v>2</v>
      </c>
      <c r="C22" s="32">
        <f>IF($A22=INDEX($J$3:$J$49,(FLOOR((ROW(K21)-3)/8,1)-1)*8+1,1),C14/$K22,C14-$K22*VLOOKUP(INDEX($J$3:$J$49,(FLOOR((ROW(K21)-3)/8,1)-1)*8+1,1),$A$21:$I$25,COLUMNS($A14:C14),0))</f>
        <v>0</v>
      </c>
      <c r="D22" s="32">
        <f>IF($A22=INDEX($J$3:$J$49,(FLOOR((ROW(L21)-3)/8,1)-1)*8+1,1),D14/$K22,D14-$K22*VLOOKUP(INDEX($J$3:$J$49,(FLOOR((ROW(L21)-3)/8,1)-1)*8+1,1),$A$21:$I$25,COLUMNS($A14:D14),0))</f>
        <v>0</v>
      </c>
      <c r="E22" s="32">
        <f>IF($A22=INDEX($J$3:$J$49,(FLOOR((ROW(M21)-3)/8,1)-1)*8+1,1),E14/$K22,E14-$K22*VLOOKUP(INDEX($J$3:$J$49,(FLOOR((ROW(M21)-3)/8,1)-1)*8+1,1),$A$21:$I$25,COLUMNS($A14:E14),0))</f>
        <v>1</v>
      </c>
      <c r="F22" s="32">
        <f>IF($A22=INDEX($J$3:$J$49,(FLOOR((ROW(N21)-3)/8,1)-1)*8+1,1),F14/$K22,F14-$K22*VLOOKUP(INDEX($J$3:$J$49,(FLOOR((ROW(N21)-3)/8,1)-1)*8+1,1),$A$21:$I$25,COLUMNS($A14:F14),0))</f>
        <v>1</v>
      </c>
      <c r="G22" s="32">
        <f>IF($A22=INDEX($J$3:$J$49,(FLOOR((ROW(O21)-3)/8,1)-1)*8+1,1),G14/$K22,G14-$K22*VLOOKUP(INDEX($J$3:$J$49,(FLOOR((ROW(O21)-3)/8,1)-1)*8+1,1),$A$21:$I$25,COLUMNS($A14:G14),0))</f>
        <v>0</v>
      </c>
      <c r="H22" s="32">
        <f>IF($A22=INDEX($J$3:$J$49,(FLOOR((ROW(P21)-3)/8,1)-1)*8+1,1),H14/$K22,H14-$K22*VLOOKUP(INDEX($J$3:$J$49,(FLOOR((ROW(P21)-3)/8,1)-1)*8+1,1),$A$21:$I$25,COLUMNS($A14:H14),0))</f>
        <v>0</v>
      </c>
      <c r="I22" s="32">
        <f>IF($A22=INDEX($J$3:$J$49,(FLOOR((ROW(Q21)-3)/8,1)-1)*8+1,1),I14/$K22,I14-$K22*VLOOKUP(INDEX($J$3:$J$49,(FLOOR((ROW(Q21)-3)/8,1)-1)*8+1,1),$A$21:$I$25,COLUMNS($A14:I14),0))</f>
        <v>19</v>
      </c>
      <c r="J22" s="33">
        <f t="shared" si="0"/>
        <v>9.5</v>
      </c>
      <c r="K22" s="45">
        <f>HLOOKUP(INDEX($J$3:$J$49,(FLOOR((ROW(J22)-3)/8,1)-1)*8+1,1),$B$12:$H$17,ROWS($C$12:$C14),0)</f>
        <v>-0.333333333333333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</row>
    <row r="23" customHeight="1" spans="1:21">
      <c r="A23" s="35" t="s">
        <v>11</v>
      </c>
      <c r="B23" s="36">
        <f>IF($A23=INDEX($J$3:$J$49,(FLOOR((ROW(J22)-3)/8,1)-1)*8+1,1),B15/$K23,B15-$K23*VLOOKUP(INDEX($J$3:$J$49,(FLOOR((ROW(J22)-3)/8,1)-1)*8+1,1),$A$21:$I$25,COLUMNS($A15:B15),0))</f>
        <v>-5</v>
      </c>
      <c r="C23" s="36">
        <f>IF($A23=INDEX($J$3:$J$49,(FLOOR((ROW(K22)-3)/8,1)-1)*8+1,1),C15/$K23,C15-$K23*VLOOKUP(INDEX($J$3:$J$49,(FLOOR((ROW(K22)-3)/8,1)-1)*8+1,1),$A$21:$I$25,COLUMNS($A15:C15),0))</f>
        <v>0</v>
      </c>
      <c r="D23" s="36">
        <f>IF($A23=INDEX($J$3:$J$49,(FLOOR((ROW(L22)-3)/8,1)-1)*8+1,1),D15/$K23,D15-$K23*VLOOKUP(INDEX($J$3:$J$49,(FLOOR((ROW(L22)-3)/8,1)-1)*8+1,1),$A$21:$I$25,COLUMNS($A15:D15),0))</f>
        <v>1</v>
      </c>
      <c r="E23" s="36">
        <f>IF($A23=INDEX($J$3:$J$49,(FLOOR((ROW(M22)-3)/8,1)-1)*8+1,1),E15/$K23,E15-$K23*VLOOKUP(INDEX($J$3:$J$49,(FLOOR((ROW(M22)-3)/8,1)-1)*8+1,1),$A$21:$I$25,COLUMNS($A15:E15),0))</f>
        <v>0</v>
      </c>
      <c r="F23" s="36">
        <f>IF($A23=INDEX($J$3:$J$49,(FLOOR((ROW(N22)-3)/8,1)-1)*8+1,1),F15/$K23,F15-$K23*VLOOKUP(INDEX($J$3:$J$49,(FLOOR((ROW(N22)-3)/8,1)-1)*8+1,1),$A$21:$I$25,COLUMNS($A15:F15),0))</f>
        <v>3</v>
      </c>
      <c r="G23" s="36">
        <f>IF($A23=INDEX($J$3:$J$49,(FLOOR((ROW(O22)-3)/8,1)-1)*8+1,1),G15/$K23,G15-$K23*VLOOKUP(INDEX($J$3:$J$49,(FLOOR((ROW(O22)-3)/8,1)-1)*8+1,1),$A$21:$I$25,COLUMNS($A15:G15),0))</f>
        <v>0</v>
      </c>
      <c r="H23" s="36">
        <f>IF($A23=INDEX($J$3:$J$49,(FLOOR((ROW(P22)-3)/8,1)-1)*8+1,1),H15/$K23,H15-$K23*VLOOKUP(INDEX($J$3:$J$49,(FLOOR((ROW(P22)-3)/8,1)-1)*8+1,1),$A$21:$I$25,COLUMNS($A15:H15),0))</f>
        <v>0</v>
      </c>
      <c r="I23" s="36">
        <f>IF($A23=INDEX($J$3:$J$49,(FLOOR((ROW(Q22)-3)/8,1)-1)*8+1,1),I15/$K23,I15-$K23*VLOOKUP(INDEX($J$3:$J$49,(FLOOR((ROW(Q22)-3)/8,1)-1)*8+1,1),$A$21:$I$25,COLUMNS($A15:I15),0))</f>
        <v>6</v>
      </c>
      <c r="J23" s="36">
        <f t="shared" si="0"/>
        <v>-1.2</v>
      </c>
      <c r="K23" s="45">
        <f>HLOOKUP(INDEX($J$3:$J$49,(FLOOR((ROW(J23)-3)/8,1)-1)*8+1,1),$B$12:$H$17,ROWS($C$12:$C15),0)</f>
        <v>0.333333333333333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</row>
    <row r="24" customHeight="1" spans="1:21">
      <c r="A24" s="30" t="s">
        <v>14</v>
      </c>
      <c r="B24" s="32">
        <f>IF($A24=INDEX($J$3:$J$49,(FLOOR((ROW(J23)-3)/8,1)-1)*8+1,1),B16/$K24,B16-$K24*VLOOKUP(INDEX($J$3:$J$49,(FLOOR((ROW(J23)-3)/8,1)-1)*8+1,1),$A$21:$I$25,COLUMNS($A16:B16),0))</f>
        <v>7</v>
      </c>
      <c r="C24" s="32">
        <f>IF($A24=INDEX($J$3:$J$49,(FLOOR((ROW(K23)-3)/8,1)-1)*8+1,1),C16/$K24,C16-$K24*VLOOKUP(INDEX($J$3:$J$49,(FLOOR((ROW(K23)-3)/8,1)-1)*8+1,1),$A$21:$I$25,COLUMNS($A16:C16),0))</f>
        <v>0</v>
      </c>
      <c r="D24" s="32">
        <f>IF($A24=INDEX($J$3:$J$49,(FLOOR((ROW(L23)-3)/8,1)-1)*8+1,1),D16/$K24,D16-$K24*VLOOKUP(INDEX($J$3:$J$49,(FLOOR((ROW(L23)-3)/8,1)-1)*8+1,1),$A$21:$I$25,COLUMNS($A16:D16),0))</f>
        <v>0</v>
      </c>
      <c r="E24" s="32">
        <f>IF($A24=INDEX($J$3:$J$49,(FLOOR((ROW(M23)-3)/8,1)-1)*8+1,1),E16/$K24,E16-$K24*VLOOKUP(INDEX($J$3:$J$49,(FLOOR((ROW(M23)-3)/8,1)-1)*8+1,1),$A$21:$I$25,COLUMNS($A16:E16),0))</f>
        <v>0</v>
      </c>
      <c r="F24" s="32">
        <f>IF($A24=INDEX($J$3:$J$49,(FLOOR((ROW(N23)-3)/8,1)-1)*8+1,1),F16/$K24,F16-$K24*VLOOKUP(INDEX($J$3:$J$49,(FLOOR((ROW(N23)-3)/8,1)-1)*8+1,1),$A$21:$I$25,COLUMNS($A16:F16),0))</f>
        <v>-5</v>
      </c>
      <c r="G24" s="32">
        <f>IF($A24=INDEX($J$3:$J$49,(FLOOR((ROW(O23)-3)/8,1)-1)*8+1,1),G16/$K24,G16-$K24*VLOOKUP(INDEX($J$3:$J$49,(FLOOR((ROW(O23)-3)/8,1)-1)*8+1,1),$A$21:$I$25,COLUMNS($A16:G16),0))</f>
        <v>1</v>
      </c>
      <c r="H24" s="32">
        <f>IF($A24=INDEX($J$3:$J$49,(FLOOR((ROW(P23)-3)/8,1)-1)*8+1,1),H16/$K24,H16-$K24*VLOOKUP(INDEX($J$3:$J$49,(FLOOR((ROW(P23)-3)/8,1)-1)*8+1,1),$A$21:$I$25,COLUMNS($A16:H16),0))</f>
        <v>0</v>
      </c>
      <c r="I24" s="32">
        <f>IF($A24=INDEX($J$3:$J$49,(FLOOR((ROW(Q23)-3)/8,1)-1)*8+1,1),I16/$K24,I16-$K24*VLOOKUP(INDEX($J$3:$J$49,(FLOOR((ROW(Q23)-3)/8,1)-1)*8+1,1),$A$21:$I$25,COLUMNS($A16:I16),0))</f>
        <v>7</v>
      </c>
      <c r="J24" s="33">
        <f t="shared" si="0"/>
        <v>1</v>
      </c>
      <c r="K24" s="45">
        <f>HLOOKUP(INDEX($J$3:$J$49,(FLOOR((ROW(J24)-3)/8,1)-1)*8+1,1),$B$12:$H$17,ROWS($C$12:$C16),0)</f>
        <v>1.66666666666667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customHeight="1" spans="1:21">
      <c r="A25" s="30" t="s">
        <v>18</v>
      </c>
      <c r="B25" s="32">
        <f>IF($A25=INDEX($J$3:$J$49,(FLOOR((ROW(J24)-3)/8,1)-1)*8+1,1),B17/$K25,B17-$K25*VLOOKUP(INDEX($J$3:$J$49,(FLOOR((ROW(J24)-3)/8,1)-1)*8+1,1),$A$21:$I$25,COLUMNS($A17:B17),0))</f>
        <v>-5</v>
      </c>
      <c r="C25" s="32">
        <f>IF($A25=INDEX($J$3:$J$49,(FLOOR((ROW(K24)-3)/8,1)-1)*8+1,1),C17/$K25,C17-$K25*VLOOKUP(INDEX($J$3:$J$49,(FLOOR((ROW(K24)-3)/8,1)-1)*8+1,1),$A$21:$I$25,COLUMNS($A17:C17),0))</f>
        <v>0</v>
      </c>
      <c r="D25" s="32">
        <f>IF($A25=INDEX($J$3:$J$49,(FLOOR((ROW(L24)-3)/8,1)-1)*8+1,1),D17/$K25,D17-$K25*VLOOKUP(INDEX($J$3:$J$49,(FLOOR((ROW(L24)-3)/8,1)-1)*8+1,1),$A$21:$I$25,COLUMNS($A17:D17),0))</f>
        <v>0</v>
      </c>
      <c r="E25" s="32">
        <f>IF($A25=INDEX($J$3:$J$49,(FLOOR((ROW(M24)-3)/8,1)-1)*8+1,1),E17/$K25,E17-$K25*VLOOKUP(INDEX($J$3:$J$49,(FLOOR((ROW(M24)-3)/8,1)-1)*8+1,1),$A$21:$I$25,COLUMNS($A17:E17),0))</f>
        <v>0</v>
      </c>
      <c r="F25" s="32">
        <f>IF($A25=INDEX($J$3:$J$49,(FLOOR((ROW(N24)-3)/8,1)-1)*8+1,1),F17/$K25,F17-$K25*VLOOKUP(INDEX($J$3:$J$49,(FLOOR((ROW(N24)-3)/8,1)-1)*8+1,1),$A$21:$I$25,COLUMNS($A17:F17),0))</f>
        <v>3</v>
      </c>
      <c r="G25" s="32">
        <f>IF($A25=INDEX($J$3:$J$49,(FLOOR((ROW(O24)-3)/8,1)-1)*8+1,1),G17/$K25,G17-$K25*VLOOKUP(INDEX($J$3:$J$49,(FLOOR((ROW(O24)-3)/8,1)-1)*8+1,1),$A$21:$I$25,COLUMNS($A17:G17),0))</f>
        <v>0</v>
      </c>
      <c r="H25" s="32">
        <f>IF($A25=INDEX($J$3:$J$49,(FLOOR((ROW(P24)-3)/8,1)-1)*8+1,1),H17/$K25,H17-$K25*VLOOKUP(INDEX($J$3:$J$49,(FLOOR((ROW(P24)-3)/8,1)-1)*8+1,1),$A$21:$I$25,COLUMNS($A17:H17),0))</f>
        <v>1</v>
      </c>
      <c r="I25" s="32">
        <f>IF($A25=INDEX($J$3:$J$49,(FLOOR((ROW(Q24)-3)/8,1)-1)*8+1,1),I17/$K25,I17-$K25*VLOOKUP(INDEX($J$3:$J$49,(FLOOR((ROW(Q24)-3)/8,1)-1)*8+1,1),$A$21:$I$25,COLUMNS($A17:I17),0))</f>
        <v>12</v>
      </c>
      <c r="J25" s="31"/>
      <c r="K25" s="42">
        <f>D17</f>
        <v>-1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customHeight="1" spans="1:21">
      <c r="A26" s="29"/>
      <c r="B26" s="29"/>
      <c r="C26" s="29"/>
      <c r="D26" s="29"/>
      <c r="E26" s="29"/>
      <c r="F26" s="29"/>
      <c r="G26" s="29"/>
      <c r="H26" s="29"/>
      <c r="I26" s="29"/>
      <c r="J26" s="3" t="s">
        <v>6</v>
      </c>
      <c r="K26" s="4" t="s">
        <v>7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</row>
    <row r="27" customHeight="1" spans="1:21">
      <c r="A27" s="29"/>
      <c r="B27" s="29"/>
      <c r="C27" s="29"/>
      <c r="D27" s="29"/>
      <c r="E27" s="29"/>
      <c r="F27" s="29"/>
      <c r="G27" s="29"/>
      <c r="H27" s="29"/>
      <c r="I27" s="29"/>
      <c r="J27" s="29" t="str">
        <f t="array" ref="J27">INDEX(B28:H28,MATCH(MIN(B33:H33),B33:H33,0))</f>
        <v>a3</v>
      </c>
      <c r="K27" s="29" t="str">
        <f t="array" ref="K27">INDEX(A29:A32,MATCH(_xlfn.MINIFS(J29:J32,J29:J32,"&gt;0"),J29:J32,0))</f>
        <v>a2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</row>
    <row r="28" customHeight="1" spans="1:21">
      <c r="A28" s="30" t="s">
        <v>8</v>
      </c>
      <c r="B28" s="30" t="s">
        <v>9</v>
      </c>
      <c r="C28" s="30" t="s">
        <v>10</v>
      </c>
      <c r="D28" s="30" t="s">
        <v>11</v>
      </c>
      <c r="E28" s="30" t="s">
        <v>12</v>
      </c>
      <c r="F28" s="30" t="s">
        <v>13</v>
      </c>
      <c r="G28" s="30" t="s">
        <v>14</v>
      </c>
      <c r="H28" s="30" t="s">
        <v>15</v>
      </c>
      <c r="I28" s="30" t="s">
        <v>16</v>
      </c>
      <c r="J28" s="31" t="s">
        <v>17</v>
      </c>
      <c r="K28" s="45" t="s">
        <v>23</v>
      </c>
      <c r="L28" s="55"/>
      <c r="M28" s="55"/>
      <c r="N28" s="55"/>
      <c r="O28" s="55"/>
      <c r="P28" s="55"/>
      <c r="Q28" s="55"/>
      <c r="R28" s="55"/>
      <c r="S28" s="55"/>
      <c r="T28" s="55"/>
      <c r="U28" s="29"/>
    </row>
    <row r="29" customHeight="1" spans="1:21">
      <c r="A29" s="30" t="s">
        <v>10</v>
      </c>
      <c r="B29" s="32">
        <f>IF($A29=INDEX($J$3:$J$49,(FLOOR((ROW(J28)-3)/8,1)-1)*8+1,1),B21/$K29,B21-$K29*VLOOKUP(INDEX($J$3:$J$49,(FLOOR((ROW(J28)-3)/8,1)-1)*8+1,1),$A$29:$I$33,COLUMNS($A21:B21),0))</f>
        <v>0</v>
      </c>
      <c r="C29" s="32">
        <f>IF($A29=INDEX($J$3:$J$49,(FLOOR((ROW(K28)-3)/8,1)-1)*8+1,1),C21/$K29,C21-$K29*VLOOKUP(INDEX($J$3:$J$49,(FLOOR((ROW(K28)-3)/8,1)-1)*8+1,1),$A$29:$I$33,COLUMNS($A21:C21),0))</f>
        <v>1</v>
      </c>
      <c r="D29" s="32">
        <f>IF($A29=INDEX($J$3:$J$49,(FLOOR((ROW(L28)-3)/8,1)-1)*8+1,1),D21/$K29,D21-$K29*VLOOKUP(INDEX($J$3:$J$49,(FLOOR((ROW(L28)-3)/8,1)-1)*8+1,1),$A$29:$I$33,COLUMNS($A21:D21),0))</f>
        <v>0</v>
      </c>
      <c r="E29" s="32">
        <f>IF($A29=INDEX($J$3:$J$49,(FLOOR((ROW(M28)-3)/8,1)-1)*8+1,1),E21/$K29,E21-$K29*VLOOKUP(INDEX($J$3:$J$49,(FLOOR((ROW(M28)-3)/8,1)-1)*8+1,1),$A$29:$I$33,COLUMNS($A21:E21),0))</f>
        <v>0</v>
      </c>
      <c r="F29" s="32">
        <f>IF($A29=INDEX($J$3:$J$49,(FLOOR((ROW(N28)-3)/8,1)-1)*8+1,1),F21/$K29,F21-$K29*VLOOKUP(INDEX($J$3:$J$49,(FLOOR((ROW(N28)-3)/8,1)-1)*8+1,1),$A$29:$I$33,COLUMNS($A21:F21),0))</f>
        <v>0.285714285714286</v>
      </c>
      <c r="G29" s="32">
        <f>IF($A29=INDEX($J$3:$J$49,(FLOOR((ROW(O28)-3)/8,1)-1)*8+1,1),G21/$K29,G21-$K29*VLOOKUP(INDEX($J$3:$J$49,(FLOOR((ROW(O28)-3)/8,1)-1)*8+1,1),$A$29:$I$33,COLUMNS($A21:G21),0))</f>
        <v>0.142857142857143</v>
      </c>
      <c r="H29" s="32">
        <f>IF($A29=INDEX($J$3:$J$49,(FLOOR((ROW(P28)-3)/8,1)-1)*8+1,1),H21/$K29,H21-$K29*VLOOKUP(INDEX($J$3:$J$49,(FLOOR((ROW(P28)-3)/8,1)-1)*8+1,1),$A$29:$I$33,COLUMNS($A21:H21),0))</f>
        <v>0</v>
      </c>
      <c r="I29" s="32">
        <f>IF($A29=INDEX($J$3:$J$49,(FLOOR((ROW(Q28)-3)/8,1)-1)*8+1,1),I21/$K29,I21-$K29*VLOOKUP(INDEX($J$3:$J$49,(FLOOR((ROW(Q28)-3)/8,1)-1)*8+1,1),$A$29:$I$33,COLUMNS($A21:I21),0))</f>
        <v>5</v>
      </c>
      <c r="J29" s="33">
        <f t="shared" ref="J29:J32" si="1">I29/F29</f>
        <v>17.5</v>
      </c>
      <c r="K29" s="45">
        <f>HLOOKUP(INDEX($J$3:$J$49,(FLOOR((ROW(J29)-3)/8,1)-1)*8+1,1),$B$20:$H$25,ROWS($C$20:$C21),0)</f>
        <v>-1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</row>
    <row r="30" customHeight="1" spans="1:21">
      <c r="A30" s="30" t="s">
        <v>12</v>
      </c>
      <c r="B30" s="32">
        <f>IF($A30=INDEX($J$3:$J$49,(FLOOR((ROW(J29)-3)/8,1)-1)*8+1,1),B22/$K30,B22-$K30*VLOOKUP(INDEX($J$3:$J$49,(FLOOR((ROW(J29)-3)/8,1)-1)*8+1,1),$A$29:$I$33,COLUMNS($A22:B22),0))</f>
        <v>0</v>
      </c>
      <c r="C30" s="32">
        <f>IF($A30=INDEX($J$3:$J$49,(FLOOR((ROW(K29)-3)/8,1)-1)*8+1,1),C22/$K30,C22-$K30*VLOOKUP(INDEX($J$3:$J$49,(FLOOR((ROW(K29)-3)/8,1)-1)*8+1,1),$A$29:$I$33,COLUMNS($A22:C22),0))</f>
        <v>0</v>
      </c>
      <c r="D30" s="32">
        <f>IF($A30=INDEX($J$3:$J$49,(FLOOR((ROW(L29)-3)/8,1)-1)*8+1,1),D22/$K30,D22-$K30*VLOOKUP(INDEX($J$3:$J$49,(FLOOR((ROW(L29)-3)/8,1)-1)*8+1,1),$A$29:$I$33,COLUMNS($A22:D22),0))</f>
        <v>0</v>
      </c>
      <c r="E30" s="32">
        <f>IF($A30=INDEX($J$3:$J$49,(FLOOR((ROW(M29)-3)/8,1)-1)*8+1,1),E22/$K30,E22-$K30*VLOOKUP(INDEX($J$3:$J$49,(FLOOR((ROW(M29)-3)/8,1)-1)*8+1,1),$A$29:$I$33,COLUMNS($A22:E22),0))</f>
        <v>1</v>
      </c>
      <c r="F30" s="32">
        <f>IF($A30=INDEX($J$3:$J$49,(FLOOR((ROW(N29)-3)/8,1)-1)*8+1,1),F22/$K30,F22-$K30*VLOOKUP(INDEX($J$3:$J$49,(FLOOR((ROW(N29)-3)/8,1)-1)*8+1,1),$A$29:$I$33,COLUMNS($A22:F22),0))</f>
        <v>2.42857142857143</v>
      </c>
      <c r="G30" s="32">
        <f>IF($A30=INDEX($J$3:$J$49,(FLOOR((ROW(O29)-3)/8,1)-1)*8+1,1),G22/$K30,G22-$K30*VLOOKUP(INDEX($J$3:$J$49,(FLOOR((ROW(O29)-3)/8,1)-1)*8+1,1),$A$29:$I$33,COLUMNS($A22:G22),0))</f>
        <v>-0.285714285714286</v>
      </c>
      <c r="H30" s="32">
        <f>IF($A30=INDEX($J$3:$J$49,(FLOOR((ROW(P29)-3)/8,1)-1)*8+1,1),H22/$K30,H22-$K30*VLOOKUP(INDEX($J$3:$J$49,(FLOOR((ROW(P29)-3)/8,1)-1)*8+1,1),$A$29:$I$33,COLUMNS($A22:H22),0))</f>
        <v>0</v>
      </c>
      <c r="I30" s="32">
        <f>IF($A30=INDEX($J$3:$J$49,(FLOOR((ROW(Q29)-3)/8,1)-1)*8+1,1),I22/$K30,I22-$K30*VLOOKUP(INDEX($J$3:$J$49,(FLOOR((ROW(Q29)-3)/8,1)-1)*8+1,1),$A$29:$I$33,COLUMNS($A22:I22),0))</f>
        <v>17</v>
      </c>
      <c r="J30" s="33">
        <f t="shared" si="1"/>
        <v>7</v>
      </c>
      <c r="K30" s="45">
        <f>HLOOKUP(INDEX($J$3:$J$49,(FLOOR((ROW(J30)-3)/8,1)-1)*8+1,1),$B$20:$H$25,ROWS($C$20:$C22),0)</f>
        <v>2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customHeight="1" spans="1:21">
      <c r="A31" s="30" t="s">
        <v>11</v>
      </c>
      <c r="B31" s="32">
        <f>IF($A31=INDEX($J$3:$J$49,(FLOOR((ROW(J30)-3)/8,1)-1)*8+1,1),B23/$K31,B23-$K31*VLOOKUP(INDEX($J$3:$J$49,(FLOOR((ROW(J30)-3)/8,1)-1)*8+1,1),$A$29:$I$33,COLUMNS($A23:B23),0))</f>
        <v>0</v>
      </c>
      <c r="C31" s="32">
        <f>IF($A31=INDEX($J$3:$J$49,(FLOOR((ROW(K30)-3)/8,1)-1)*8+1,1),C23/$K31,C23-$K31*VLOOKUP(INDEX($J$3:$J$49,(FLOOR((ROW(K30)-3)/8,1)-1)*8+1,1),$A$29:$I$33,COLUMNS($A23:C23),0))</f>
        <v>0</v>
      </c>
      <c r="D31" s="32">
        <f>IF($A31=INDEX($J$3:$J$49,(FLOOR((ROW(L30)-3)/8,1)-1)*8+1,1),D23/$K31,D23-$K31*VLOOKUP(INDEX($J$3:$J$49,(FLOOR((ROW(L30)-3)/8,1)-1)*8+1,1),$A$29:$I$33,COLUMNS($A23:D23),0))</f>
        <v>1</v>
      </c>
      <c r="E31" s="32">
        <f>IF($A31=INDEX($J$3:$J$49,(FLOOR((ROW(M30)-3)/8,1)-1)*8+1,1),E23/$K31,E23-$K31*VLOOKUP(INDEX($J$3:$J$49,(FLOOR((ROW(M30)-3)/8,1)-1)*8+1,1),$A$29:$I$33,COLUMNS($A23:E23),0))</f>
        <v>0</v>
      </c>
      <c r="F31" s="32">
        <f>IF($A31=INDEX($J$3:$J$49,(FLOOR((ROW(N30)-3)/8,1)-1)*8+1,1),F23/$K31,F23-$K31*VLOOKUP(INDEX($J$3:$J$49,(FLOOR((ROW(N30)-3)/8,1)-1)*8+1,1),$A$29:$I$33,COLUMNS($A23:F23),0))</f>
        <v>-0.571428571428572</v>
      </c>
      <c r="G31" s="32">
        <f>IF($A31=INDEX($J$3:$J$49,(FLOOR((ROW(O30)-3)/8,1)-1)*8+1,1),G23/$K31,G23-$K31*VLOOKUP(INDEX($J$3:$J$49,(FLOOR((ROW(O30)-3)/8,1)-1)*8+1,1),$A$29:$I$33,COLUMNS($A23:G23),0))</f>
        <v>0.714285714285714</v>
      </c>
      <c r="H31" s="32">
        <f>IF($A31=INDEX($J$3:$J$49,(FLOOR((ROW(P30)-3)/8,1)-1)*8+1,1),H23/$K31,H23-$K31*VLOOKUP(INDEX($J$3:$J$49,(FLOOR((ROW(P30)-3)/8,1)-1)*8+1,1),$A$29:$I$33,COLUMNS($A23:H23),0))</f>
        <v>0</v>
      </c>
      <c r="I31" s="32">
        <f>IF($A31=INDEX($J$3:$J$49,(FLOOR((ROW(Q30)-3)/8,1)-1)*8+1,1),I23/$K31,I23-$K31*VLOOKUP(INDEX($J$3:$J$49,(FLOOR((ROW(Q30)-3)/8,1)-1)*8+1,1),$A$29:$I$33,COLUMNS($A23:I23),0))</f>
        <v>11</v>
      </c>
      <c r="J31" s="33">
        <f t="shared" si="1"/>
        <v>-19.25</v>
      </c>
      <c r="K31" s="45">
        <f>HLOOKUP(INDEX($J$3:$J$49,(FLOOR((ROW(J31)-3)/8,1)-1)*8+1,1),$B$20:$H$25,ROWS($C$20:$C23),0)</f>
        <v>-5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</row>
    <row r="32" customHeight="1" spans="1:21">
      <c r="A32" s="35" t="s">
        <v>9</v>
      </c>
      <c r="B32" s="36">
        <f>IF($A32=INDEX($J$3:$J$49,(FLOOR((ROW(J31)-3)/8,1)-1)*8+1,1),B24/$K32,B24-$K32*VLOOKUP(INDEX($J$3:$J$49,(FLOOR((ROW(J31)-3)/8,1)-1)*8+1,1),$A$29:$I$33,COLUMNS($A24:B24),0))</f>
        <v>1</v>
      </c>
      <c r="C32" s="36">
        <f>IF($A32=INDEX($J$3:$J$49,(FLOOR((ROW(K31)-3)/8,1)-1)*8+1,1),C24/$K32,C24-$K32*VLOOKUP(INDEX($J$3:$J$49,(FLOOR((ROW(K31)-3)/8,1)-1)*8+1,1),$A$29:$I$33,COLUMNS($A24:C24),0))</f>
        <v>0</v>
      </c>
      <c r="D32" s="36">
        <f>IF($A32=INDEX($J$3:$J$49,(FLOOR((ROW(L31)-3)/8,1)-1)*8+1,1),D24/$K32,D24-$K32*VLOOKUP(INDEX($J$3:$J$49,(FLOOR((ROW(L31)-3)/8,1)-1)*8+1,1),$A$29:$I$33,COLUMNS($A24:D24),0))</f>
        <v>0</v>
      </c>
      <c r="E32" s="36">
        <f>IF($A32=INDEX($J$3:$J$49,(FLOOR((ROW(M31)-3)/8,1)-1)*8+1,1),E24/$K32,E24-$K32*VLOOKUP(INDEX($J$3:$J$49,(FLOOR((ROW(M31)-3)/8,1)-1)*8+1,1),$A$29:$I$33,COLUMNS($A24:E24),0))</f>
        <v>0</v>
      </c>
      <c r="F32" s="36">
        <f>IF($A32=INDEX($J$3:$J$49,(FLOOR((ROW(N31)-3)/8,1)-1)*8+1,1),F24/$K32,F24-$K32*VLOOKUP(INDEX($J$3:$J$49,(FLOOR((ROW(N31)-3)/8,1)-1)*8+1,1),$A$29:$I$33,COLUMNS($A24:F24),0))</f>
        <v>-0.714285714285714</v>
      </c>
      <c r="G32" s="36">
        <f>IF($A32=INDEX($J$3:$J$49,(FLOOR((ROW(O31)-3)/8,1)-1)*8+1,1),G24/$K32,G24-$K32*VLOOKUP(INDEX($J$3:$J$49,(FLOOR((ROW(O31)-3)/8,1)-1)*8+1,1),$A$29:$I$33,COLUMNS($A24:G24),0))</f>
        <v>0.142857142857143</v>
      </c>
      <c r="H32" s="36">
        <f>IF($A32=INDEX($J$3:$J$49,(FLOOR((ROW(P31)-3)/8,1)-1)*8+1,1),H24/$K32,H24-$K32*VLOOKUP(INDEX($J$3:$J$49,(FLOOR((ROW(P31)-3)/8,1)-1)*8+1,1),$A$29:$I$33,COLUMNS($A24:H24),0))</f>
        <v>0</v>
      </c>
      <c r="I32" s="36">
        <f>IF($A32=INDEX($J$3:$J$49,(FLOOR((ROW(Q31)-3)/8,1)-1)*8+1,1),I24/$K32,I24-$K32*VLOOKUP(INDEX($J$3:$J$49,(FLOOR((ROW(Q31)-3)/8,1)-1)*8+1,1),$A$29:$I$33,COLUMNS($A24:I24),0))</f>
        <v>1</v>
      </c>
      <c r="J32" s="36">
        <f t="shared" si="1"/>
        <v>-1.4</v>
      </c>
      <c r="K32" s="45">
        <f>HLOOKUP(INDEX($J$3:$J$49,(FLOOR((ROW(J32)-3)/8,1)-1)*8+1,1),$B$20:$H$25,ROWS($C$20:$C24),0)</f>
        <v>7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</row>
    <row r="33" customHeight="1" spans="1:21">
      <c r="A33" s="30" t="s">
        <v>18</v>
      </c>
      <c r="B33" s="32">
        <f>IF($A33=INDEX($J$3:$J$49,(FLOOR((ROW(J32)-3)/8,1)-1)*8+1,1),B25/$K33,B25-$K33*VLOOKUP(INDEX($J$3:$J$49,(FLOOR((ROW(J32)-3)/8,1)-1)*8+1,1),$A$29:$I$33,COLUMNS($A25:B25),0))</f>
        <v>0</v>
      </c>
      <c r="C33" s="32">
        <f>IF($A33=INDEX($J$3:$J$49,(FLOOR((ROW(K32)-3)/8,1)-1)*8+1,1),C25/$K33,C25-$K33*VLOOKUP(INDEX($J$3:$J$49,(FLOOR((ROW(K32)-3)/8,1)-1)*8+1,1),$A$29:$I$33,COLUMNS($A25:C25),0))</f>
        <v>0</v>
      </c>
      <c r="D33" s="32">
        <f>IF($A33=INDEX($J$3:$J$49,(FLOOR((ROW(L32)-3)/8,1)-1)*8+1,1),D25/$K33,D25-$K33*VLOOKUP(INDEX($J$3:$J$49,(FLOOR((ROW(L32)-3)/8,1)-1)*8+1,1),$A$29:$I$33,COLUMNS($A25:D25),0))</f>
        <v>0</v>
      </c>
      <c r="E33" s="32">
        <f>IF($A33=INDEX($J$3:$J$49,(FLOOR((ROW(M32)-3)/8,1)-1)*8+1,1),E25/$K33,E25-$K33*VLOOKUP(INDEX($J$3:$J$49,(FLOOR((ROW(M32)-3)/8,1)-1)*8+1,1),$A$29:$I$33,COLUMNS($A25:E25),0))</f>
        <v>0</v>
      </c>
      <c r="F33" s="32">
        <f>IF($A33=INDEX($J$3:$J$49,(FLOOR((ROW(N32)-3)/8,1)-1)*8+1,1),F25/$K33,F25-$K33*VLOOKUP(INDEX($J$3:$J$49,(FLOOR((ROW(N32)-3)/8,1)-1)*8+1,1),$A$29:$I$33,COLUMNS($A25:F25),0))</f>
        <v>-0.571428571428572</v>
      </c>
      <c r="G33" s="32">
        <f>IF($A33=INDEX($J$3:$J$49,(FLOOR((ROW(O32)-3)/8,1)-1)*8+1,1),G25/$K33,G25-$K33*VLOOKUP(INDEX($J$3:$J$49,(FLOOR((ROW(O32)-3)/8,1)-1)*8+1,1),$A$29:$I$33,COLUMNS($A25:G25),0))</f>
        <v>0.714285714285714</v>
      </c>
      <c r="H33" s="32">
        <f>IF($A33=INDEX($J$3:$J$49,(FLOOR((ROW(P32)-3)/8,1)-1)*8+1,1),H25/$K33,H25-$K33*VLOOKUP(INDEX($J$3:$J$49,(FLOOR((ROW(P32)-3)/8,1)-1)*8+1,1),$A$29:$I$33,COLUMNS($A25:H25),0))</f>
        <v>1</v>
      </c>
      <c r="I33" s="32">
        <f>IF($A33=INDEX($J$3:$J$49,(FLOOR((ROW(Q32)-3)/8,1)-1)*8+1,1),I25/$K33,I25-$K33*VLOOKUP(INDEX($J$3:$J$49,(FLOOR((ROW(Q32)-3)/8,1)-1)*8+1,1),$A$29:$I$33,COLUMNS($A25:I25),0))</f>
        <v>17</v>
      </c>
      <c r="J33" s="31"/>
      <c r="K33" s="45">
        <f>HLOOKUP(INDEX($J$3:$J$49,(FLOOR((ROW(J33)-3)/8,1)-1)*8+1,1),$B$20:$H$25,ROWS($C$20:$C25),0)</f>
        <v>-5</v>
      </c>
      <c r="L33" s="29"/>
      <c r="M33" s="29"/>
      <c r="N33" s="29"/>
      <c r="O33" s="29"/>
      <c r="P33" s="29"/>
      <c r="Q33" s="29"/>
      <c r="R33" s="29"/>
      <c r="S33" s="29"/>
      <c r="T33" s="29"/>
      <c r="U33" s="29"/>
    </row>
    <row r="34" customHeight="1" spans="1:21">
      <c r="A34" s="29"/>
      <c r="B34" s="29"/>
      <c r="C34" s="29"/>
      <c r="D34" s="29"/>
      <c r="E34" s="29"/>
      <c r="F34" s="29"/>
      <c r="G34" s="29"/>
      <c r="H34" s="29"/>
      <c r="I34" s="29"/>
      <c r="J34" s="49"/>
      <c r="K34" s="56"/>
      <c r="L34" s="29"/>
      <c r="M34" s="29"/>
      <c r="N34" s="29"/>
      <c r="O34" s="29"/>
      <c r="P34" s="29"/>
      <c r="Q34" s="29"/>
      <c r="R34" s="29"/>
      <c r="S34" s="29"/>
      <c r="T34" s="29"/>
      <c r="U34" s="29"/>
    </row>
    <row r="35" customHeight="1" spans="1:2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56"/>
      <c r="L35" s="29"/>
      <c r="M35" s="29"/>
      <c r="N35" s="29"/>
      <c r="O35" s="29"/>
      <c r="P35" s="29"/>
      <c r="Q35" s="29"/>
      <c r="R35" s="29"/>
      <c r="S35" s="29"/>
      <c r="T35" s="29"/>
      <c r="U35" s="29"/>
    </row>
    <row r="36" customHeight="1" spans="1:21">
      <c r="A36" s="30" t="s">
        <v>8</v>
      </c>
      <c r="B36" s="30" t="s">
        <v>9</v>
      </c>
      <c r="C36" s="30" t="s">
        <v>10</v>
      </c>
      <c r="D36" s="30" t="s">
        <v>11</v>
      </c>
      <c r="E36" s="30" t="s">
        <v>12</v>
      </c>
      <c r="F36" s="30" t="s">
        <v>13</v>
      </c>
      <c r="G36" s="30" t="s">
        <v>14</v>
      </c>
      <c r="H36" s="30" t="s">
        <v>15</v>
      </c>
      <c r="I36" s="30" t="s">
        <v>16</v>
      </c>
      <c r="J36" s="31"/>
      <c r="K36" s="45" t="s">
        <v>23</v>
      </c>
      <c r="L36" s="55"/>
      <c r="M36" s="55"/>
      <c r="N36" s="55"/>
      <c r="O36" s="55"/>
      <c r="P36" s="55"/>
      <c r="Q36" s="55"/>
      <c r="R36" s="55"/>
      <c r="S36" s="55"/>
      <c r="T36" s="55"/>
      <c r="U36" s="29"/>
    </row>
    <row r="37" customHeight="1" spans="1:21">
      <c r="A37" s="30" t="s">
        <v>10</v>
      </c>
      <c r="B37" s="32">
        <f>IF($A37=INDEX($J$3:$J$49,(FLOOR((ROW(J36)-3)/8,1)-1)*8+1,1),B29/$K37,B29-$K37*VLOOKUP(INDEX($J$3:$J$49,(FLOOR((ROW(J36)-3)/8,1)-1)*8+1,1),$A$37:$I$41,COLUMNS($A29:B29),0))</f>
        <v>0</v>
      </c>
      <c r="C37" s="32">
        <f>IF($A37=INDEX($J$3:$J$49,(FLOOR((ROW(K36)-3)/8,1)-1)*8+1,1),C29/$K37,C29-$K37*VLOOKUP(INDEX($J$3:$J$49,(FLOOR((ROW(K36)-3)/8,1)-1)*8+1,1),$A$37:$I$41,COLUMNS($A29:C29),0))</f>
        <v>1</v>
      </c>
      <c r="D37" s="32">
        <f>IF($A37=INDEX($J$3:$J$49,(FLOOR((ROW(L36)-3)/8,1)-1)*8+1,1),D29/$K37,D29-$K37*VLOOKUP(INDEX($J$3:$J$49,(FLOOR((ROW(L36)-3)/8,1)-1)*8+1,1),$A$37:$I$41,COLUMNS($A29:D29),0))</f>
        <v>0</v>
      </c>
      <c r="E37" s="32">
        <f>IF($A37=INDEX($J$3:$J$49,(FLOOR((ROW(M36)-3)/8,1)-1)*8+1,1),E29/$K37,E29-$K37*VLOOKUP(INDEX($J$3:$J$49,(FLOOR((ROW(M36)-3)/8,1)-1)*8+1,1),$A$37:$I$41,COLUMNS($A29:E29),0))</f>
        <v>-0.117647058823529</v>
      </c>
      <c r="F37" s="32">
        <f>IF($A37=INDEX($J$3:$J$49,(FLOOR((ROW(N36)-3)/8,1)-1)*8+1,1),F29/$K37,F29-$K37*VLOOKUP(INDEX($J$3:$J$49,(FLOOR((ROW(N36)-3)/8,1)-1)*8+1,1),$A$37:$I$41,COLUMNS($A29:F29),0))</f>
        <v>0</v>
      </c>
      <c r="G37" s="32">
        <f>IF($A37=INDEX($J$3:$J$49,(FLOOR((ROW(O36)-3)/8,1)-1)*8+1,1),G29/$K37,G29-$K37*VLOOKUP(INDEX($J$3:$J$49,(FLOOR((ROW(O36)-3)/8,1)-1)*8+1,1),$A$37:$I$41,COLUMNS($A29:G29),0))</f>
        <v>0.176470588235294</v>
      </c>
      <c r="H37" s="32">
        <f>IF($A37=INDEX($J$3:$J$49,(FLOOR((ROW(P36)-3)/8,1)-1)*8+1,1),H29/$K37,H29-$K37*VLOOKUP(INDEX($J$3:$J$49,(FLOOR((ROW(P36)-3)/8,1)-1)*8+1,1),$A$37:$I$41,COLUMNS($A29:H29),0))</f>
        <v>0</v>
      </c>
      <c r="I37" s="32">
        <f>IF($A37=INDEX($J$3:$J$49,(FLOOR((ROW(Q36)-3)/8,1)-1)*8+1,1),I29/$K37,I29-$K37*VLOOKUP(INDEX($J$3:$J$49,(FLOOR((ROW(Q36)-3)/8,1)-1)*8+1,1),$A$37:$I$41,COLUMNS($A29:I29),0))</f>
        <v>3</v>
      </c>
      <c r="J37" s="31"/>
      <c r="K37" s="45">
        <f>HLOOKUP(INDEX($J$3:$J$49,(FLOOR((ROW(J37)-3)/8,1)-1)*8+1,1),$B$28:$H$33,ROWS($C$28:$C29),0)</f>
        <v>0.285714285714286</v>
      </c>
      <c r="L37" s="29"/>
      <c r="M37" s="29"/>
      <c r="N37" s="29"/>
      <c r="O37" s="29"/>
      <c r="P37" s="29"/>
      <c r="Q37" s="29"/>
      <c r="R37" s="29"/>
      <c r="S37" s="29"/>
      <c r="T37" s="29"/>
      <c r="U37" s="29"/>
    </row>
    <row r="38" customHeight="1" spans="1:21">
      <c r="A38" s="35" t="s">
        <v>13</v>
      </c>
      <c r="B38" s="36">
        <f>IF($A38=INDEX($J$3:$J$49,(FLOOR((ROW(J37)-3)/8,1)-1)*8+1,1),B30/$K38,B30-$K38*VLOOKUP(INDEX($J$3:$J$49,(FLOOR((ROW(J37)-3)/8,1)-1)*8+1,1),$A$37:$I$41,COLUMNS($A30:B30),0))</f>
        <v>0</v>
      </c>
      <c r="C38" s="36">
        <f>IF($A38=INDEX($J$3:$J$49,(FLOOR((ROW(K37)-3)/8,1)-1)*8+1,1),C30/$K38,C30-$K38*VLOOKUP(INDEX($J$3:$J$49,(FLOOR((ROW(K37)-3)/8,1)-1)*8+1,1),$A$37:$I$41,COLUMNS($A30:C30),0))</f>
        <v>0</v>
      </c>
      <c r="D38" s="36">
        <f>IF($A38=INDEX($J$3:$J$49,(FLOOR((ROW(L37)-3)/8,1)-1)*8+1,1),D30/$K38,D30-$K38*VLOOKUP(INDEX($J$3:$J$49,(FLOOR((ROW(L37)-3)/8,1)-1)*8+1,1),$A$37:$I$41,COLUMNS($A30:D30),0))</f>
        <v>0</v>
      </c>
      <c r="E38" s="36">
        <f>IF($A38=INDEX($J$3:$J$49,(FLOOR((ROW(M37)-3)/8,1)-1)*8+1,1),E30/$K38,E30-$K38*VLOOKUP(INDEX($J$3:$J$49,(FLOOR((ROW(M37)-3)/8,1)-1)*8+1,1),$A$37:$I$41,COLUMNS($A30:E30),0))</f>
        <v>0.411764705882353</v>
      </c>
      <c r="F38" s="36">
        <f>IF($A38=INDEX($J$3:$J$49,(FLOOR((ROW(N37)-3)/8,1)-1)*8+1,1),F30/$K38,F30-$K38*VLOOKUP(INDEX($J$3:$J$49,(FLOOR((ROW(N37)-3)/8,1)-1)*8+1,1),$A$37:$I$41,COLUMNS($A30:F30),0))</f>
        <v>1</v>
      </c>
      <c r="G38" s="36">
        <f>IF($A38=INDEX($J$3:$J$49,(FLOOR((ROW(O37)-3)/8,1)-1)*8+1,1),G30/$K38,G30-$K38*VLOOKUP(INDEX($J$3:$J$49,(FLOOR((ROW(O37)-3)/8,1)-1)*8+1,1),$A$37:$I$41,COLUMNS($A30:G30),0))</f>
        <v>-0.117647058823529</v>
      </c>
      <c r="H38" s="36">
        <f>IF($A38=INDEX($J$3:$J$49,(FLOOR((ROW(P37)-3)/8,1)-1)*8+1,1),H30/$K38,H30-$K38*VLOOKUP(INDEX($J$3:$J$49,(FLOOR((ROW(P37)-3)/8,1)-1)*8+1,1),$A$37:$I$41,COLUMNS($A30:H30),0))</f>
        <v>0</v>
      </c>
      <c r="I38" s="36">
        <f>IF($A38=INDEX($J$3:$J$49,(FLOOR((ROW(Q37)-3)/8,1)-1)*8+1,1),I30/$K38,I30-$K38*VLOOKUP(INDEX($J$3:$J$49,(FLOOR((ROW(Q37)-3)/8,1)-1)*8+1,1),$A$37:$I$41,COLUMNS($A30:I30),0))</f>
        <v>7</v>
      </c>
      <c r="J38" s="31"/>
      <c r="K38" s="45">
        <f>HLOOKUP(INDEX($J$3:$J$49,(FLOOR((ROW(J38)-3)/8,1)-1)*8+1,1),$B$28:$H$33,ROWS($C$28:$C30),0)</f>
        <v>2.42857142857143</v>
      </c>
      <c r="L38" s="29"/>
      <c r="M38" s="29"/>
      <c r="N38" s="29"/>
      <c r="O38" s="29"/>
      <c r="P38" s="29"/>
      <c r="Q38" s="29"/>
      <c r="R38" s="29"/>
      <c r="S38" s="29"/>
      <c r="T38" s="29"/>
      <c r="U38" s="29"/>
    </row>
    <row r="39" customHeight="1" spans="1:21">
      <c r="A39" s="30" t="s">
        <v>11</v>
      </c>
      <c r="B39" s="32">
        <f>IF($A39=INDEX($J$3:$J$49,(FLOOR((ROW(J38)-3)/8,1)-1)*8+1,1),B31/$K39,B31-$K39*VLOOKUP(INDEX($J$3:$J$49,(FLOOR((ROW(J38)-3)/8,1)-1)*8+1,1),$A$37:$I$41,COLUMNS($A31:B31),0))</f>
        <v>0</v>
      </c>
      <c r="C39" s="32">
        <f>IF($A39=INDEX($J$3:$J$49,(FLOOR((ROW(K38)-3)/8,1)-1)*8+1,1),C31/$K39,C31-$K39*VLOOKUP(INDEX($J$3:$J$49,(FLOOR((ROW(K38)-3)/8,1)-1)*8+1,1),$A$37:$I$41,COLUMNS($A31:C31),0))</f>
        <v>0</v>
      </c>
      <c r="D39" s="32">
        <f>IF($A39=INDEX($J$3:$J$49,(FLOOR((ROW(L38)-3)/8,1)-1)*8+1,1),D31/$K39,D31-$K39*VLOOKUP(INDEX($J$3:$J$49,(FLOOR((ROW(L38)-3)/8,1)-1)*8+1,1),$A$37:$I$41,COLUMNS($A31:D31),0))</f>
        <v>1</v>
      </c>
      <c r="E39" s="32">
        <f>IF($A39=INDEX($J$3:$J$49,(FLOOR((ROW(M38)-3)/8,1)-1)*8+1,1),E31/$K39,E31-$K39*VLOOKUP(INDEX($J$3:$J$49,(FLOOR((ROW(M38)-3)/8,1)-1)*8+1,1),$A$37:$I$41,COLUMNS($A31:E31),0))</f>
        <v>0.235294117647059</v>
      </c>
      <c r="F39" s="32">
        <f>IF($A39=INDEX($J$3:$J$49,(FLOOR((ROW(N38)-3)/8,1)-1)*8+1,1),F31/$K39,F31-$K39*VLOOKUP(INDEX($J$3:$J$49,(FLOOR((ROW(N38)-3)/8,1)-1)*8+1,1),$A$37:$I$41,COLUMNS($A31:F31),0))</f>
        <v>0</v>
      </c>
      <c r="G39" s="32">
        <f>IF($A39=INDEX($J$3:$J$49,(FLOOR((ROW(O38)-3)/8,1)-1)*8+1,1),G31/$K39,G31-$K39*VLOOKUP(INDEX($J$3:$J$49,(FLOOR((ROW(O38)-3)/8,1)-1)*8+1,1),$A$37:$I$41,COLUMNS($A31:G31),0))</f>
        <v>0.647058823529412</v>
      </c>
      <c r="H39" s="32">
        <f>IF($A39=INDEX($J$3:$J$49,(FLOOR((ROW(P38)-3)/8,1)-1)*8+1,1),H31/$K39,H31-$K39*VLOOKUP(INDEX($J$3:$J$49,(FLOOR((ROW(P38)-3)/8,1)-1)*8+1,1),$A$37:$I$41,COLUMNS($A31:H31),0))</f>
        <v>0</v>
      </c>
      <c r="I39" s="32">
        <f>IF($A39=INDEX($J$3:$J$49,(FLOOR((ROW(Q38)-3)/8,1)-1)*8+1,1),I31/$K39,I31-$K39*VLOOKUP(INDEX($J$3:$J$49,(FLOOR((ROW(Q38)-3)/8,1)-1)*8+1,1),$A$37:$I$41,COLUMNS($A31:I31),0))</f>
        <v>15</v>
      </c>
      <c r="J39" s="31"/>
      <c r="K39" s="45">
        <f>HLOOKUP(INDEX($J$3:$J$49,(FLOOR((ROW(J39)-3)/8,1)-1)*8+1,1),$B$28:$H$33,ROWS($C$28:$C31),0)</f>
        <v>-0.571428571428572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</row>
    <row r="40" customHeight="1" spans="1:21">
      <c r="A40" s="30" t="s">
        <v>9</v>
      </c>
      <c r="B40" s="32">
        <f>IF($A40=INDEX($J$3:$J$49,(FLOOR((ROW(J39)-3)/8,1)-1)*8+1,1),B32/$K40,B32-$K40*VLOOKUP(INDEX($J$3:$J$49,(FLOOR((ROW(J39)-3)/8,1)-1)*8+1,1),$A$37:$I$41,COLUMNS($A32:B32),0))</f>
        <v>1</v>
      </c>
      <c r="C40" s="32">
        <f>IF($A40=INDEX($J$3:$J$49,(FLOOR((ROW(K39)-3)/8,1)-1)*8+1,1),C32/$K40,C32-$K40*VLOOKUP(INDEX($J$3:$J$49,(FLOOR((ROW(K39)-3)/8,1)-1)*8+1,1),$A$37:$I$41,COLUMNS($A32:C32),0))</f>
        <v>0</v>
      </c>
      <c r="D40" s="32">
        <f>IF($A40=INDEX($J$3:$J$49,(FLOOR((ROW(L39)-3)/8,1)-1)*8+1,1),D32/$K40,D32-$K40*VLOOKUP(INDEX($J$3:$J$49,(FLOOR((ROW(L39)-3)/8,1)-1)*8+1,1),$A$37:$I$41,COLUMNS($A32:D32),0))</f>
        <v>0</v>
      </c>
      <c r="E40" s="32">
        <f>IF($A40=INDEX($J$3:$J$49,(FLOOR((ROW(M39)-3)/8,1)-1)*8+1,1),E32/$K40,E32-$K40*VLOOKUP(INDEX($J$3:$J$49,(FLOOR((ROW(M39)-3)/8,1)-1)*8+1,1),$A$37:$I$41,COLUMNS($A32:E32),0))</f>
        <v>0.294117647058824</v>
      </c>
      <c r="F40" s="32">
        <f>IF($A40=INDEX($J$3:$J$49,(FLOOR((ROW(N39)-3)/8,1)-1)*8+1,1),F32/$K40,F32-$K40*VLOOKUP(INDEX($J$3:$J$49,(FLOOR((ROW(N39)-3)/8,1)-1)*8+1,1),$A$37:$I$41,COLUMNS($A32:F32),0))</f>
        <v>0</v>
      </c>
      <c r="G40" s="32">
        <f>IF($A40=INDEX($J$3:$J$49,(FLOOR((ROW(O39)-3)/8,1)-1)*8+1,1),G32/$K40,G32-$K40*VLOOKUP(INDEX($J$3:$J$49,(FLOOR((ROW(O39)-3)/8,1)-1)*8+1,1),$A$37:$I$41,COLUMNS($A32:G32),0))</f>
        <v>0.0588235294117647</v>
      </c>
      <c r="H40" s="32">
        <f>IF($A40=INDEX($J$3:$J$49,(FLOOR((ROW(P39)-3)/8,1)-1)*8+1,1),H32/$K40,H32-$K40*VLOOKUP(INDEX($J$3:$J$49,(FLOOR((ROW(P39)-3)/8,1)-1)*8+1,1),$A$37:$I$41,COLUMNS($A32:H32),0))</f>
        <v>0</v>
      </c>
      <c r="I40" s="32">
        <f>IF($A40=INDEX($J$3:$J$49,(FLOOR((ROW(Q39)-3)/8,1)-1)*8+1,1),I32/$K40,I32-$K40*VLOOKUP(INDEX($J$3:$J$49,(FLOOR((ROW(Q39)-3)/8,1)-1)*8+1,1),$A$37:$I$41,COLUMNS($A32:I32),0))</f>
        <v>6</v>
      </c>
      <c r="J40" s="31"/>
      <c r="K40" s="45">
        <f>HLOOKUP(INDEX($J$3:$J$49,(FLOOR((ROW(J40)-3)/8,1)-1)*8+1,1),$B$28:$H$33,ROWS($C$28:$C32),0)</f>
        <v>-0.714285714285714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</row>
    <row r="41" customHeight="1" spans="1:21">
      <c r="A41" s="30" t="s">
        <v>18</v>
      </c>
      <c r="B41" s="32">
        <f>IF($A41=INDEX($J$3:$J$49,(FLOOR((ROW(J40)-3)/8,1)-1)*8+1,1),B33/$K41,B33-$K41*VLOOKUP(INDEX($J$3:$J$49,(FLOOR((ROW(J40)-3)/8,1)-1)*8+1,1),$A$37:$I$41,COLUMNS($A33:B33),0))</f>
        <v>0</v>
      </c>
      <c r="C41" s="32">
        <f>IF($A41=INDEX($J$3:$J$49,(FLOOR((ROW(K40)-3)/8,1)-1)*8+1,1),C33/$K41,C33-$K41*VLOOKUP(INDEX($J$3:$J$49,(FLOOR((ROW(K40)-3)/8,1)-1)*8+1,1),$A$37:$I$41,COLUMNS($A33:C33),0))</f>
        <v>0</v>
      </c>
      <c r="D41" s="32">
        <f>IF($A41=INDEX($J$3:$J$49,(FLOOR((ROW(L40)-3)/8,1)-1)*8+1,1),D33/$K41,D33-$K41*VLOOKUP(INDEX($J$3:$J$49,(FLOOR((ROW(L40)-3)/8,1)-1)*8+1,1),$A$37:$I$41,COLUMNS($A33:D33),0))</f>
        <v>0</v>
      </c>
      <c r="E41" s="32">
        <f>IF($A41=INDEX($J$3:$J$49,(FLOOR((ROW(M40)-3)/8,1)-1)*8+1,1),E33/$K41,E33-$K41*VLOOKUP(INDEX($J$3:$J$49,(FLOOR((ROW(M40)-3)/8,1)-1)*8+1,1),$A$37:$I$41,COLUMNS($A33:E33),0))</f>
        <v>0.235294117647059</v>
      </c>
      <c r="F41" s="32">
        <f>IF($A41=INDEX($J$3:$J$49,(FLOOR((ROW(N40)-3)/8,1)-1)*8+1,1),F33/$K41,F33-$K41*VLOOKUP(INDEX($J$3:$J$49,(FLOOR((ROW(N40)-3)/8,1)-1)*8+1,1),$A$37:$I$41,COLUMNS($A33:F33),0))</f>
        <v>0</v>
      </c>
      <c r="G41" s="32">
        <f>IF($A41=INDEX($J$3:$J$49,(FLOOR((ROW(O40)-3)/8,1)-1)*8+1,1),G33/$K41,G33-$K41*VLOOKUP(INDEX($J$3:$J$49,(FLOOR((ROW(O40)-3)/8,1)-1)*8+1,1),$A$37:$I$41,COLUMNS($A33:G33),0))</f>
        <v>0.647058823529412</v>
      </c>
      <c r="H41" s="32">
        <f>IF($A41=INDEX($J$3:$J$49,(FLOOR((ROW(P40)-3)/8,1)-1)*8+1,1),H33/$K41,H33-$K41*VLOOKUP(INDEX($J$3:$J$49,(FLOOR((ROW(P40)-3)/8,1)-1)*8+1,1),$A$37:$I$41,COLUMNS($A33:H33),0))</f>
        <v>1</v>
      </c>
      <c r="I41" s="32">
        <f>IF($A41=INDEX($J$3:$J$49,(FLOOR((ROW(Q40)-3)/8,1)-1)*8+1,1),I33/$K41,I33-$K41*VLOOKUP(INDEX($J$3:$J$49,(FLOOR((ROW(Q40)-3)/8,1)-1)*8+1,1),$A$37:$I$41,COLUMNS($A33:I33),0))</f>
        <v>21</v>
      </c>
      <c r="J41" s="31"/>
      <c r="K41" s="45">
        <f>HLOOKUP(INDEX($J$3:$J$49,(FLOOR((ROW(J41)-3)/8,1)-1)*8+1,1),$B$28:$H$33,ROWS($C$28:$C33),0)</f>
        <v>-0.571428571428572</v>
      </c>
      <c r="L41" s="29"/>
      <c r="M41" s="29"/>
      <c r="N41" s="29"/>
      <c r="O41" s="29"/>
      <c r="P41" s="29"/>
      <c r="Q41" s="29"/>
      <c r="R41" s="29"/>
      <c r="S41" s="29"/>
      <c r="T41" s="29"/>
      <c r="U41" s="29"/>
    </row>
    <row r="42" customHeight="1" spans="1:2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</row>
    <row r="43" customHeight="1" spans="1:21">
      <c r="A43" s="37" t="s">
        <v>24</v>
      </c>
      <c r="B43" s="38">
        <v>6</v>
      </c>
      <c r="C43" s="38">
        <v>3</v>
      </c>
      <c r="D43" s="38">
        <v>7</v>
      </c>
      <c r="E43" s="38">
        <v>0</v>
      </c>
      <c r="F43" s="38">
        <v>15</v>
      </c>
      <c r="G43" s="38">
        <v>0</v>
      </c>
      <c r="H43" s="38">
        <v>21</v>
      </c>
      <c r="I43" s="40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38"/>
  <sheetViews>
    <sheetView topLeftCell="A3" workbookViewId="0">
      <selection activeCell="A1" sqref="A1"/>
    </sheetView>
  </sheetViews>
  <sheetFormatPr defaultColWidth="12.6296296296296" defaultRowHeight="15.75" customHeight="1"/>
  <cols>
    <col min="1" max="9" width="5.87962962962963" customWidth="1"/>
    <col min="10" max="10" width="8.87962962962963" customWidth="1"/>
    <col min="11" max="19" width="5.87962962962963" customWidth="1"/>
  </cols>
  <sheetData>
    <row r="1" customHeight="1" spans="1:19">
      <c r="A1" s="28" t="s">
        <v>0</v>
      </c>
      <c r="B1" s="28" t="s">
        <v>26</v>
      </c>
      <c r="C1" s="28"/>
      <c r="D1" s="28"/>
      <c r="E1" s="28"/>
      <c r="F1" s="28"/>
      <c r="G1" s="28"/>
      <c r="H1" s="28"/>
      <c r="I1" s="28"/>
      <c r="J1" s="28" t="s">
        <v>2</v>
      </c>
      <c r="L1" s="28" t="s">
        <v>3</v>
      </c>
      <c r="M1" s="28" t="s">
        <v>26</v>
      </c>
      <c r="O1" s="28" t="s">
        <v>4</v>
      </c>
      <c r="P1" s="28"/>
      <c r="Q1" s="28"/>
      <c r="R1" s="28" t="s">
        <v>0</v>
      </c>
      <c r="S1" s="28" t="s">
        <v>27</v>
      </c>
    </row>
    <row r="2" customHeight="1" spans="1:19">
      <c r="A2" s="29"/>
      <c r="B2" s="29"/>
      <c r="C2" s="29"/>
      <c r="D2" s="29"/>
      <c r="E2" s="29"/>
      <c r="F2" s="29"/>
      <c r="G2" s="29"/>
      <c r="H2" s="29"/>
      <c r="I2" s="3" t="s">
        <v>6</v>
      </c>
      <c r="J2" s="4" t="s">
        <v>7</v>
      </c>
      <c r="K2" s="29"/>
      <c r="L2" s="29"/>
      <c r="M2" s="29"/>
      <c r="R2" s="29"/>
      <c r="S2" s="29"/>
    </row>
    <row r="3" customHeight="1" spans="1:19">
      <c r="A3" s="29"/>
      <c r="B3" s="29"/>
      <c r="C3" s="29"/>
      <c r="D3" s="29"/>
      <c r="E3" s="29"/>
      <c r="F3" s="29"/>
      <c r="G3" s="29"/>
      <c r="H3" s="29"/>
      <c r="I3" s="29" t="str">
        <f t="array" ref="I3">INDEX(B4:G4,MATCH(MIN(B8:G8),B8:G8,0))</f>
        <v>x</v>
      </c>
      <c r="J3" s="29" t="str">
        <f t="array" ref="J3">INDEX(A5:A7,MATCH(_xlfn.MINIFS(I5:I7,I5:I7,"&gt;0"),I5:I7,0))</f>
        <v>a2</v>
      </c>
      <c r="K3" s="29"/>
      <c r="L3" s="29"/>
      <c r="M3" s="29"/>
      <c r="N3" s="29"/>
      <c r="O3" s="29"/>
      <c r="P3" s="29"/>
      <c r="Q3" s="29"/>
      <c r="R3" s="29"/>
      <c r="S3" s="29"/>
    </row>
    <row r="4" customHeight="1" spans="1:20">
      <c r="A4" s="30" t="s">
        <v>8</v>
      </c>
      <c r="B4" s="30" t="s">
        <v>9</v>
      </c>
      <c r="C4" s="30" t="s">
        <v>10</v>
      </c>
      <c r="D4" s="30" t="s">
        <v>11</v>
      </c>
      <c r="E4" s="30" t="s">
        <v>12</v>
      </c>
      <c r="F4" s="30" t="s">
        <v>13</v>
      </c>
      <c r="G4" s="30" t="s">
        <v>15</v>
      </c>
      <c r="H4" s="30" t="s">
        <v>16</v>
      </c>
      <c r="I4" s="31" t="s">
        <v>17</v>
      </c>
      <c r="J4" s="42"/>
      <c r="L4" s="30" t="s">
        <v>8</v>
      </c>
      <c r="M4" s="52" t="s">
        <v>9</v>
      </c>
      <c r="N4" s="52" t="s">
        <v>10</v>
      </c>
      <c r="O4" s="52" t="s">
        <v>11</v>
      </c>
      <c r="P4" s="52" t="s">
        <v>12</v>
      </c>
      <c r="Q4" s="52" t="s">
        <v>13</v>
      </c>
      <c r="R4" s="52" t="s">
        <v>15</v>
      </c>
      <c r="S4" s="52" t="s">
        <v>16</v>
      </c>
      <c r="T4" s="29" t="s">
        <v>17</v>
      </c>
    </row>
    <row r="5" customHeight="1" spans="1:20">
      <c r="A5" s="30" t="s">
        <v>11</v>
      </c>
      <c r="B5" s="32">
        <v>-1</v>
      </c>
      <c r="C5" s="32">
        <v>1</v>
      </c>
      <c r="D5" s="32">
        <v>1</v>
      </c>
      <c r="E5" s="32">
        <v>0</v>
      </c>
      <c r="F5" s="32">
        <v>0</v>
      </c>
      <c r="G5" s="32">
        <v>0</v>
      </c>
      <c r="H5" s="32">
        <v>12</v>
      </c>
      <c r="I5" s="33">
        <f>H5/HLOOKUP($I$3,$B$4:$G$8,ROWS($C$4:$C5),0)</f>
        <v>-12</v>
      </c>
      <c r="J5" s="42"/>
      <c r="L5" s="50" t="s">
        <v>11</v>
      </c>
      <c r="M5" s="32">
        <v>-1</v>
      </c>
      <c r="N5" s="32">
        <v>1</v>
      </c>
      <c r="O5" s="32">
        <v>1</v>
      </c>
      <c r="P5" s="32">
        <v>0</v>
      </c>
      <c r="Q5" s="32">
        <v>0</v>
      </c>
      <c r="R5" s="32">
        <v>0</v>
      </c>
      <c r="S5" s="32">
        <v>12</v>
      </c>
      <c r="T5" s="33">
        <f>S5/HLOOKUP($I$3,$B$4:$G$8,ROWS($C$4:$C5),0)</f>
        <v>-12</v>
      </c>
    </row>
    <row r="6" customHeight="1" spans="1:20">
      <c r="A6" s="30" t="s">
        <v>12</v>
      </c>
      <c r="B6" s="32">
        <v>1</v>
      </c>
      <c r="C6" s="32">
        <v>1</v>
      </c>
      <c r="D6" s="32">
        <v>0</v>
      </c>
      <c r="E6" s="32">
        <v>1</v>
      </c>
      <c r="F6" s="32">
        <v>0</v>
      </c>
      <c r="G6" s="32">
        <v>0</v>
      </c>
      <c r="H6" s="32">
        <v>24</v>
      </c>
      <c r="I6" s="33">
        <f>H6/HLOOKUP($I$3,$B$4:$G$8,ROWS($C$4:$C6),0)</f>
        <v>24</v>
      </c>
      <c r="J6" s="42"/>
      <c r="L6" s="50" t="s">
        <v>12</v>
      </c>
      <c r="M6" s="32">
        <v>1</v>
      </c>
      <c r="N6" s="32">
        <v>1</v>
      </c>
      <c r="O6" s="32">
        <v>0</v>
      </c>
      <c r="P6" s="32">
        <v>1</v>
      </c>
      <c r="Q6" s="32">
        <v>0</v>
      </c>
      <c r="R6" s="32">
        <v>0</v>
      </c>
      <c r="S6" s="32">
        <v>24</v>
      </c>
      <c r="T6" s="33">
        <f>S6/HLOOKUP($I$3,$B$4:$G$8,ROWS($C$4:$C6),0)</f>
        <v>24</v>
      </c>
    </row>
    <row r="7" customHeight="1" spans="1:20">
      <c r="A7" s="30" t="s">
        <v>13</v>
      </c>
      <c r="B7" s="32">
        <v>2</v>
      </c>
      <c r="C7" s="32">
        <v>5</v>
      </c>
      <c r="D7" s="32">
        <v>0</v>
      </c>
      <c r="E7" s="32">
        <v>0</v>
      </c>
      <c r="F7" s="32">
        <v>1</v>
      </c>
      <c r="G7" s="32">
        <v>0</v>
      </c>
      <c r="H7" s="32">
        <v>80</v>
      </c>
      <c r="I7" s="33">
        <f>H7/HLOOKUP($I$3,$B$4:$G$8,ROWS($C$4:$C7),0)</f>
        <v>40</v>
      </c>
      <c r="J7" s="42"/>
      <c r="L7" s="50" t="s">
        <v>13</v>
      </c>
      <c r="M7" s="32">
        <v>2</v>
      </c>
      <c r="N7" s="32">
        <v>5</v>
      </c>
      <c r="O7" s="32">
        <v>0</v>
      </c>
      <c r="P7" s="32">
        <v>0</v>
      </c>
      <c r="Q7" s="32">
        <v>1</v>
      </c>
      <c r="R7" s="32">
        <v>0</v>
      </c>
      <c r="S7" s="32">
        <v>80</v>
      </c>
      <c r="T7" s="33">
        <f>S7/HLOOKUP($I$3,$B$4:$G$8,ROWS($C$4:$C7),0)</f>
        <v>40</v>
      </c>
    </row>
    <row r="8" customHeight="1" spans="1:21">
      <c r="A8" s="30" t="s">
        <v>18</v>
      </c>
      <c r="B8" s="32">
        <v>-6</v>
      </c>
      <c r="C8" s="32">
        <v>-4</v>
      </c>
      <c r="D8" s="32">
        <v>0</v>
      </c>
      <c r="E8" s="32">
        <v>0</v>
      </c>
      <c r="F8" s="32">
        <v>0</v>
      </c>
      <c r="G8" s="32">
        <v>1</v>
      </c>
      <c r="H8" s="32">
        <v>0</v>
      </c>
      <c r="I8" s="33"/>
      <c r="J8" s="42"/>
      <c r="L8" s="50" t="s">
        <v>18</v>
      </c>
      <c r="M8" s="32">
        <v>6</v>
      </c>
      <c r="N8" s="32">
        <v>4</v>
      </c>
      <c r="O8" s="32">
        <v>0</v>
      </c>
      <c r="P8" s="32">
        <v>0</v>
      </c>
      <c r="Q8" s="32">
        <v>0</v>
      </c>
      <c r="R8" s="32">
        <v>1</v>
      </c>
      <c r="S8" s="32">
        <v>0</v>
      </c>
      <c r="T8" s="33"/>
      <c r="U8" s="42"/>
    </row>
    <row r="9" customHeight="1" spans="1:20">
      <c r="A9" s="29"/>
      <c r="B9" s="29"/>
      <c r="C9" s="29"/>
      <c r="D9" s="29"/>
      <c r="E9" s="29"/>
      <c r="F9" s="29"/>
      <c r="G9" s="29"/>
      <c r="H9" s="29"/>
      <c r="I9" s="3" t="s">
        <v>6</v>
      </c>
      <c r="J9" s="4" t="s">
        <v>7</v>
      </c>
      <c r="L9" s="29"/>
      <c r="M9" s="29" t="s">
        <v>28</v>
      </c>
      <c r="N9" s="29"/>
      <c r="O9" s="29"/>
      <c r="P9" s="29"/>
      <c r="Q9" s="29"/>
      <c r="R9" s="29"/>
      <c r="S9" s="29"/>
      <c r="T9" s="29"/>
    </row>
    <row r="10" customHeight="1" spans="1:20">
      <c r="A10" s="29"/>
      <c r="B10" s="29" t="s">
        <v>29</v>
      </c>
      <c r="C10" s="29"/>
      <c r="D10" s="29" t="s">
        <v>30</v>
      </c>
      <c r="F10" s="29" t="s">
        <v>31</v>
      </c>
      <c r="G10" s="29"/>
      <c r="H10" s="29"/>
      <c r="I10" s="29" t="str">
        <f t="array" ref="I10">INDEX(B11:G11,MATCH(MIN(B15:G15),B15:G15,0))</f>
        <v>x</v>
      </c>
      <c r="J10" s="29" t="str">
        <f t="array" ref="J10">INDEX(A12:A14,MATCH(_xlfn.MINIFS(I12:I14,I12:I14,"&gt;0"),I12:I14,0))</f>
        <v>x</v>
      </c>
      <c r="L10" s="29"/>
      <c r="M10" s="29"/>
      <c r="N10" s="29"/>
      <c r="O10" s="29"/>
      <c r="P10" s="29"/>
      <c r="Q10" s="29"/>
      <c r="R10" s="29"/>
      <c r="S10" s="29"/>
      <c r="T10" s="29"/>
    </row>
    <row r="11" customHeight="1" spans="1:20">
      <c r="A11" s="30" t="s">
        <v>8</v>
      </c>
      <c r="B11" s="30" t="s">
        <v>9</v>
      </c>
      <c r="C11" s="30" t="s">
        <v>10</v>
      </c>
      <c r="D11" s="30" t="s">
        <v>11</v>
      </c>
      <c r="E11" s="30" t="s">
        <v>12</v>
      </c>
      <c r="F11" s="30" t="s">
        <v>13</v>
      </c>
      <c r="G11" s="30" t="s">
        <v>15</v>
      </c>
      <c r="H11" s="30" t="s">
        <v>16</v>
      </c>
      <c r="I11" s="31" t="s">
        <v>17</v>
      </c>
      <c r="J11" s="45" t="s">
        <v>23</v>
      </c>
      <c r="L11" s="30"/>
      <c r="M11" s="52"/>
      <c r="N11" s="52"/>
      <c r="O11" s="52"/>
      <c r="P11" s="52"/>
      <c r="Q11" s="52"/>
      <c r="R11" s="52"/>
      <c r="S11" s="52"/>
      <c r="T11" s="29"/>
    </row>
    <row r="12" customHeight="1" spans="1:20">
      <c r="A12" s="30" t="s">
        <v>11</v>
      </c>
      <c r="B12" s="32">
        <f>IF($A12=INDEX($I$3:$I$44,(FLOOR((ROW(I12)-3)/8,1)-1)*8+1,1),B5/$J12,B5-$J12*VLOOKUP(INDEX($I$3:$I$44,(FLOOR((ROW(I12)-3)/8,1)-1)*8+1,1),$A$12:$H$15,COLUMNS($A5:B5),0))</f>
        <v>0</v>
      </c>
      <c r="C12" s="32">
        <f>IF($A12=INDEX($I$3:$I$44,(FLOOR((ROW(J12)-3)/8,1)-1)*8+1,1),C5/$J12,C5-$J12*VLOOKUP(INDEX($I$3:$I$44,(FLOOR((ROW(J12)-3)/8,1)-1)*8+1,1),$A$12:$H$15,COLUMNS($A5:C5),0))</f>
        <v>2</v>
      </c>
      <c r="D12" s="32">
        <f>IF($A12=INDEX($I$3:$I$44,(FLOOR((ROW(K12)-3)/8,1)-1)*8+1,1),D5/$J12,D5-$J12*VLOOKUP(INDEX($I$3:$I$44,(FLOOR((ROW(K12)-3)/8,1)-1)*8+1,1),$A$12:$H$15,COLUMNS($A5:D5),0))</f>
        <v>1</v>
      </c>
      <c r="E12" s="32">
        <f>IF($A12=INDEX($I$3:$I$44,(FLOOR((ROW(L12)-3)/8,1)-1)*8+1,1),E5/$J12,E5-$J12*VLOOKUP(INDEX($I$3:$I$44,(FLOOR((ROW(L12)-3)/8,1)-1)*8+1,1),$A$12:$H$15,COLUMNS($A5:E5),0))</f>
        <v>1</v>
      </c>
      <c r="F12" s="32">
        <f>IF($A12=INDEX($I$3:$I$44,(FLOOR((ROW(M12)-3)/8,1)-1)*8+1,1),F5/$J12,F5-$J12*VLOOKUP(INDEX($I$3:$I$44,(FLOOR((ROW(M12)-3)/8,1)-1)*8+1,1),$A$12:$H$15,COLUMNS($A5:F5),0))</f>
        <v>0</v>
      </c>
      <c r="G12" s="32">
        <f>IF($A12=INDEX($I$3:$I$44,(FLOOR((ROW(O12)-3)/8,1)-1)*8+1,1),G5/$J12,G5-$J12*VLOOKUP(INDEX($I$3:$I$44,(FLOOR((ROW(O12)-3)/8,1)-1)*8+1,1),$A$12:$H$15,COLUMNS($A5:G5),0))</f>
        <v>0</v>
      </c>
      <c r="H12" s="32">
        <f>IF($A12=INDEX($I$3:$I$44,(FLOOR((ROW(P12)-3)/8,1)-1)*8+1,1),H5/$J12,H5-$J12*VLOOKUP(INDEX($I$3:$I$44,(FLOOR((ROW(P12)-3)/8,1)-1)*8+1,1),$A$12:$H$15,COLUMNS($A5:H5),0))</f>
        <v>36</v>
      </c>
      <c r="I12" s="33" t="e">
        <f>H12/HLOOKUP($I$10,$B$11:$G$15,ROWS($C$11:$C12),0)</f>
        <v>#DIV/0!</v>
      </c>
      <c r="J12" s="45">
        <f>HLOOKUP(INDEX($I$3:$I$44,(FLOOR((ROW(I12)-3)/8,1)-1)*8+1,1),$B$4:$G$8,ROWS($C$4:$C5),0)</f>
        <v>-1</v>
      </c>
      <c r="L12" s="50"/>
      <c r="M12" s="51"/>
      <c r="N12" s="51"/>
      <c r="O12" s="51"/>
      <c r="P12" s="51"/>
      <c r="Q12" s="51"/>
      <c r="R12" s="51"/>
      <c r="S12" s="51"/>
      <c r="T12" s="29"/>
    </row>
    <row r="13" customHeight="1" spans="1:20">
      <c r="A13" s="35" t="s">
        <v>9</v>
      </c>
      <c r="B13" s="36">
        <f>IF($A13=INDEX($I$3:$I$44,(FLOOR((ROW(I13)-3)/8,1)-1)*8+1,1),B6/$J13,B6-$J13*VLOOKUP(INDEX($I$3:$I$44,(FLOOR((ROW(I13)-3)/8,1)-1)*8+1,1),$A$12:$H$15,COLUMNS($A6:B6),0))</f>
        <v>1</v>
      </c>
      <c r="C13" s="36">
        <f>IF($A13=INDEX($I$3:$I$44,(FLOOR((ROW(J13)-3)/8,1)-1)*8+1,1),C6/$J13,C6-$J13*VLOOKUP(INDEX($I$3:$I$44,(FLOOR((ROW(J13)-3)/8,1)-1)*8+1,1),$A$12:$H$15,COLUMNS($A6:C6),0))</f>
        <v>1</v>
      </c>
      <c r="D13" s="36">
        <f>IF($A13=INDEX($I$3:$I$44,(FLOOR((ROW(K13)-3)/8,1)-1)*8+1,1),D6/$J13,D6-$J13*VLOOKUP(INDEX($I$3:$I$44,(FLOOR((ROW(K13)-3)/8,1)-1)*8+1,1),$A$12:$H$15,COLUMNS($A6:D6),0))</f>
        <v>0</v>
      </c>
      <c r="E13" s="36">
        <f>IF($A13=INDEX($I$3:$I$44,(FLOOR((ROW(L13)-3)/8,1)-1)*8+1,1),E6/$J13,E6-$J13*VLOOKUP(INDEX($I$3:$I$44,(FLOOR((ROW(L13)-3)/8,1)-1)*8+1,1),$A$12:$H$15,COLUMNS($A6:E6),0))</f>
        <v>1</v>
      </c>
      <c r="F13" s="36">
        <f>IF($A13=INDEX($I$3:$I$44,(FLOOR((ROW(M13)-3)/8,1)-1)*8+1,1),F6/$J13,F6-$J13*VLOOKUP(INDEX($I$3:$I$44,(FLOOR((ROW(M13)-3)/8,1)-1)*8+1,1),$A$12:$H$15,COLUMNS($A6:F6),0))</f>
        <v>0</v>
      </c>
      <c r="G13" s="36">
        <f>IF($A13=INDEX($I$3:$I$44,(FLOOR((ROW(O13)-3)/8,1)-1)*8+1,1),G6/$J13,G6-$J13*VLOOKUP(INDEX($I$3:$I$44,(FLOOR((ROW(O13)-3)/8,1)-1)*8+1,1),$A$12:$H$15,COLUMNS($A6:G6),0))</f>
        <v>0</v>
      </c>
      <c r="H13" s="36">
        <f>IF($A13=INDEX($I$3:$I$44,(FLOOR((ROW(P13)-3)/8,1)-1)*8+1,1),H6/$J13,H6-$J13*VLOOKUP(INDEX($I$3:$I$44,(FLOOR((ROW(P13)-3)/8,1)-1)*8+1,1),$A$12:$H$15,COLUMNS($A6:H6),0))</f>
        <v>24</v>
      </c>
      <c r="I13" s="33">
        <f>H13/HLOOKUP($I$10,$B$11:$G$15,ROWS($C$11:$C13),0)</f>
        <v>24</v>
      </c>
      <c r="J13" s="45">
        <f>HLOOKUP(INDEX($I$3:$I$44,(FLOOR((ROW(I13)-3)/8,1)-1)*8+1,1),$B$4:$G$8,ROWS($C$4:$C6),0)</f>
        <v>1</v>
      </c>
      <c r="L13" s="53"/>
      <c r="M13" s="54"/>
      <c r="N13" s="54"/>
      <c r="O13" s="54"/>
      <c r="P13" s="54"/>
      <c r="Q13" s="54"/>
      <c r="R13" s="54"/>
      <c r="S13" s="54"/>
      <c r="T13" s="29"/>
    </row>
    <row r="14" customHeight="1" spans="1:20">
      <c r="A14" s="30" t="s">
        <v>13</v>
      </c>
      <c r="B14" s="32">
        <f>IF($A14=INDEX($I$3:$I$44,(FLOOR((ROW(I14)-3)/8,1)-1)*8+1,1),B7/$J14,B7-$J14*VLOOKUP(INDEX($I$3:$I$44,(FLOOR((ROW(I14)-3)/8,1)-1)*8+1,1),$A$12:$H$15,COLUMNS($A7:B7),0))</f>
        <v>0</v>
      </c>
      <c r="C14" s="32">
        <f>IF($A14=INDEX($I$3:$I$44,(FLOOR((ROW(J14)-3)/8,1)-1)*8+1,1),C7/$J14,C7-$J14*VLOOKUP(INDEX($I$3:$I$44,(FLOOR((ROW(J14)-3)/8,1)-1)*8+1,1),$A$12:$H$15,COLUMNS($A7:C7),0))</f>
        <v>3</v>
      </c>
      <c r="D14" s="32">
        <f>IF($A14=INDEX($I$3:$I$44,(FLOOR((ROW(K14)-3)/8,1)-1)*8+1,1),D7/$J14,D7-$J14*VLOOKUP(INDEX($I$3:$I$44,(FLOOR((ROW(K14)-3)/8,1)-1)*8+1,1),$A$12:$H$15,COLUMNS($A7:D7),0))</f>
        <v>0</v>
      </c>
      <c r="E14" s="32">
        <f>IF($A14=INDEX($I$3:$I$44,(FLOOR((ROW(L14)-3)/8,1)-1)*8+1,1),E7/$J14,E7-$J14*VLOOKUP(INDEX($I$3:$I$44,(FLOOR((ROW(L14)-3)/8,1)-1)*8+1,1),$A$12:$H$15,COLUMNS($A7:E7),0))</f>
        <v>-2</v>
      </c>
      <c r="F14" s="32">
        <f>IF($A14=INDEX($I$3:$I$44,(FLOOR((ROW(M14)-3)/8,1)-1)*8+1,1),F7/$J14,F7-$J14*VLOOKUP(INDEX($I$3:$I$44,(FLOOR((ROW(M14)-3)/8,1)-1)*8+1,1),$A$12:$H$15,COLUMNS($A7:F7),0))</f>
        <v>1</v>
      </c>
      <c r="G14" s="32">
        <f>IF($A14=INDEX($I$3:$I$44,(FLOOR((ROW(O14)-3)/8,1)-1)*8+1,1),G7/$J14,G7-$J14*VLOOKUP(INDEX($I$3:$I$44,(FLOOR((ROW(O14)-3)/8,1)-1)*8+1,1),$A$12:$H$15,COLUMNS($A7:G7),0))</f>
        <v>0</v>
      </c>
      <c r="H14" s="32">
        <f>IF($A14=INDEX($I$3:$I$44,(FLOOR((ROW(P14)-3)/8,1)-1)*8+1,1),H7/$J14,H7-$J14*VLOOKUP(INDEX($I$3:$I$44,(FLOOR((ROW(P14)-3)/8,1)-1)*8+1,1),$A$12:$H$15,COLUMNS($A7:H7),0))</f>
        <v>32</v>
      </c>
      <c r="I14" s="33" t="e">
        <f>H14/HLOOKUP($I$10,$B$11:$G$15,ROWS($C$11:$C14),0)</f>
        <v>#DIV/0!</v>
      </c>
      <c r="J14" s="45">
        <f>HLOOKUP(INDEX($I$3:$I$44,(FLOOR((ROW(I14)-3)/8,1)-1)*8+1,1),$B$4:$G$8,ROWS($C$4:$C7),0)</f>
        <v>2</v>
      </c>
      <c r="L14" s="50"/>
      <c r="M14" s="51"/>
      <c r="N14" s="51"/>
      <c r="O14" s="51"/>
      <c r="P14" s="51"/>
      <c r="Q14" s="51"/>
      <c r="R14" s="51"/>
      <c r="S14" s="51"/>
      <c r="T14" s="29"/>
    </row>
    <row r="15" customHeight="1" spans="1:20">
      <c r="A15" s="30" t="s">
        <v>18</v>
      </c>
      <c r="B15" s="32">
        <f>IF($A15=INDEX($I$3:$I$44,(FLOOR((ROW(I15)-3)/8,1)-1)*8+1,1),B8/$J15,B8-$J15*VLOOKUP(INDEX($I$3:$I$44,(FLOOR((ROW(I15)-3)/8,1)-1)*8+1,1),$A$12:$H$15,COLUMNS($A8:B8),0))</f>
        <v>0</v>
      </c>
      <c r="C15" s="32">
        <f>IF($A15=INDEX($I$3:$I$44,(FLOOR((ROW(J15)-3)/8,1)-1)*8+1,1),C8/$J15,C8-$J15*VLOOKUP(INDEX($I$3:$I$44,(FLOOR((ROW(J15)-3)/8,1)-1)*8+1,1),$A$12:$H$15,COLUMNS($A8:C8),0))</f>
        <v>2</v>
      </c>
      <c r="D15" s="32">
        <f>IF($A15=INDEX($I$3:$I$44,(FLOOR((ROW(K15)-3)/8,1)-1)*8+1,1),D8/$J15,D8-$J15*VLOOKUP(INDEX($I$3:$I$44,(FLOOR((ROW(K15)-3)/8,1)-1)*8+1,1),$A$12:$H$15,COLUMNS($A8:D8),0))</f>
        <v>0</v>
      </c>
      <c r="E15" s="32">
        <f>IF($A15=INDEX($I$3:$I$44,(FLOOR((ROW(L15)-3)/8,1)-1)*8+1,1),E8/$J15,E8-$J15*VLOOKUP(INDEX($I$3:$I$44,(FLOOR((ROW(L15)-3)/8,1)-1)*8+1,1),$A$12:$H$15,COLUMNS($A8:E8),0))</f>
        <v>6</v>
      </c>
      <c r="F15" s="32">
        <f>IF($A15=INDEX($I$3:$I$44,(FLOOR((ROW(M15)-3)/8,1)-1)*8+1,1),F8/$J15,F8-$J15*VLOOKUP(INDEX($I$3:$I$44,(FLOOR((ROW(M15)-3)/8,1)-1)*8+1,1),$A$12:$H$15,COLUMNS($A8:F8),0))</f>
        <v>0</v>
      </c>
      <c r="G15" s="32">
        <f>IF($A15=INDEX($I$3:$I$44,(FLOOR((ROW(O15)-3)/8,1)-1)*8+1,1),G8/$J15,G8-$J15*VLOOKUP(INDEX($I$3:$I$44,(FLOOR((ROW(O15)-3)/8,1)-1)*8+1,1),$A$12:$H$15,COLUMNS($A8:G8),0))</f>
        <v>1</v>
      </c>
      <c r="H15" s="32">
        <f>IF($A15=INDEX($I$3:$I$44,(FLOOR((ROW(P15)-3)/8,1)-1)*8+1,1),H8/$J15,H8-$J15*VLOOKUP(INDEX($I$3:$I$44,(FLOOR((ROW(P15)-3)/8,1)-1)*8+1,1),$A$12:$H$15,COLUMNS($A8:H8),0))</f>
        <v>144</v>
      </c>
      <c r="I15" s="31"/>
      <c r="J15" s="45">
        <f>HLOOKUP(INDEX($I$3:$I$44,(FLOOR((ROW(I15)-3)/8,1)-1)*8+1,1),$B$4:$G$8,ROWS($C$4:$C8),0)</f>
        <v>-6</v>
      </c>
      <c r="L15" s="50"/>
      <c r="M15" s="51"/>
      <c r="N15" s="51"/>
      <c r="O15" s="51"/>
      <c r="P15" s="51"/>
      <c r="Q15" s="51"/>
      <c r="R15" s="51"/>
      <c r="S15" s="51"/>
      <c r="T15" s="29"/>
    </row>
    <row r="16" customHeight="1" spans="1:20">
      <c r="A16" s="29"/>
      <c r="B16" s="29"/>
      <c r="C16" s="29"/>
      <c r="D16" s="29"/>
      <c r="E16" s="29"/>
      <c r="F16" s="29"/>
      <c r="G16" s="29"/>
      <c r="H16" s="29"/>
      <c r="L16" s="29"/>
      <c r="M16" s="29"/>
      <c r="N16" s="29"/>
      <c r="O16" s="29"/>
      <c r="P16" s="29"/>
      <c r="Q16" s="29"/>
      <c r="R16" s="29"/>
      <c r="S16" s="29"/>
      <c r="T16" s="29"/>
    </row>
    <row r="17" customHeight="1" spans="1:20">
      <c r="A17" s="29" t="s">
        <v>24</v>
      </c>
      <c r="B17" s="29">
        <f>H13/B13</f>
        <v>24</v>
      </c>
      <c r="C17" s="29">
        <v>0</v>
      </c>
      <c r="D17" s="29">
        <f>H12/D12</f>
        <v>36</v>
      </c>
      <c r="E17" s="29">
        <v>0</v>
      </c>
      <c r="F17" s="29">
        <f>H14/F14</f>
        <v>32</v>
      </c>
      <c r="G17" s="29"/>
      <c r="H17" s="29">
        <f>24*6</f>
        <v>144</v>
      </c>
      <c r="I17" s="29"/>
      <c r="J17" s="29"/>
      <c r="L17" s="37" t="s">
        <v>24</v>
      </c>
      <c r="M17" s="38">
        <v>0</v>
      </c>
      <c r="N17" s="38">
        <v>0</v>
      </c>
      <c r="O17" s="38">
        <v>12</v>
      </c>
      <c r="P17" s="38">
        <v>24</v>
      </c>
      <c r="Q17" s="38">
        <v>80</v>
      </c>
      <c r="R17" s="38"/>
      <c r="S17" s="40">
        <v>0</v>
      </c>
      <c r="T17" s="29"/>
    </row>
    <row r="18" customHeight="1" spans="1:20">
      <c r="A18" s="30"/>
      <c r="B18" s="30"/>
      <c r="C18" s="30"/>
      <c r="D18" s="30"/>
      <c r="E18" s="30"/>
      <c r="F18" s="30"/>
      <c r="G18" s="30"/>
      <c r="H18" s="30"/>
      <c r="I18" s="31"/>
      <c r="J18" s="45"/>
      <c r="L18" s="55"/>
      <c r="M18" s="55"/>
      <c r="N18" s="55"/>
      <c r="O18" s="55"/>
      <c r="P18" s="55"/>
      <c r="Q18" s="55"/>
      <c r="R18" s="55"/>
      <c r="S18" s="55"/>
      <c r="T18" s="29"/>
    </row>
    <row r="19" customHeight="1" spans="1:20">
      <c r="A19" s="30"/>
      <c r="B19" s="32"/>
      <c r="C19" s="32"/>
      <c r="D19" s="32"/>
      <c r="E19" s="32"/>
      <c r="F19" s="32"/>
      <c r="G19" s="32"/>
      <c r="H19" s="32"/>
      <c r="I19" s="33"/>
      <c r="J19" s="45"/>
      <c r="L19" s="37" t="s">
        <v>32</v>
      </c>
      <c r="M19" s="29"/>
      <c r="N19" s="29"/>
      <c r="O19" s="29"/>
      <c r="P19" s="29"/>
      <c r="Q19" s="29"/>
      <c r="R19" s="29"/>
      <c r="S19" s="29"/>
      <c r="T19" s="29"/>
    </row>
    <row r="20" customHeight="1" spans="1:19">
      <c r="A20" s="30"/>
      <c r="B20" s="32"/>
      <c r="C20" s="32"/>
      <c r="D20" s="32"/>
      <c r="E20" s="32"/>
      <c r="F20" s="32"/>
      <c r="G20" s="32"/>
      <c r="H20" s="32"/>
      <c r="I20" s="33"/>
      <c r="J20" s="45"/>
      <c r="K20" s="29"/>
      <c r="L20" s="29"/>
      <c r="M20" s="29"/>
      <c r="N20" s="29"/>
      <c r="O20" s="29"/>
      <c r="P20" s="29"/>
      <c r="Q20" s="29"/>
      <c r="R20" s="29"/>
      <c r="S20" s="29"/>
    </row>
    <row r="21" customHeight="1" spans="1:19">
      <c r="A21" s="35"/>
      <c r="B21" s="36"/>
      <c r="C21" s="36"/>
      <c r="D21" s="36"/>
      <c r="E21" s="36"/>
      <c r="F21" s="36"/>
      <c r="G21" s="36"/>
      <c r="H21" s="36"/>
      <c r="I21" s="36"/>
      <c r="J21" s="45"/>
      <c r="K21" s="29"/>
      <c r="L21" s="29"/>
      <c r="M21" s="29"/>
      <c r="N21" s="29"/>
      <c r="O21" s="29"/>
      <c r="P21" s="29"/>
      <c r="Q21" s="29"/>
      <c r="R21" s="29"/>
      <c r="S21" s="29"/>
    </row>
    <row r="22" customHeight="1" spans="1:19">
      <c r="A22" s="30"/>
      <c r="B22" s="32"/>
      <c r="C22" s="32"/>
      <c r="D22" s="32"/>
      <c r="E22" s="32"/>
      <c r="F22" s="32"/>
      <c r="G22" s="32"/>
      <c r="H22" s="32"/>
      <c r="I22" s="31"/>
      <c r="J22" s="42"/>
      <c r="K22" s="29"/>
      <c r="L22" s="29"/>
      <c r="M22" s="29"/>
      <c r="N22" s="29"/>
      <c r="O22" s="29"/>
      <c r="P22" s="29"/>
      <c r="Q22" s="29"/>
      <c r="R22" s="29"/>
      <c r="S22" s="29"/>
    </row>
    <row r="23" customHeight="1" spans="1:19">
      <c r="A23" s="29"/>
      <c r="B23" s="29"/>
      <c r="C23" s="29"/>
      <c r="D23" s="29"/>
      <c r="E23" s="29"/>
      <c r="F23" s="29"/>
      <c r="G23" s="29"/>
      <c r="H23" s="29"/>
      <c r="K23" s="29"/>
      <c r="L23" s="29"/>
      <c r="M23" s="29"/>
      <c r="N23" s="29"/>
      <c r="O23" s="29"/>
      <c r="P23" s="29"/>
      <c r="Q23" s="29"/>
      <c r="R23" s="29"/>
      <c r="S23" s="29"/>
    </row>
    <row r="24" customHeight="1" spans="1:19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</row>
    <row r="25" customHeight="1" spans="1:19">
      <c r="A25" s="30"/>
      <c r="B25" s="30"/>
      <c r="C25" s="30"/>
      <c r="D25" s="30"/>
      <c r="E25" s="30"/>
      <c r="F25" s="30"/>
      <c r="G25" s="30"/>
      <c r="H25" s="30"/>
      <c r="I25" s="31"/>
      <c r="J25" s="45"/>
      <c r="K25" s="55"/>
      <c r="L25" s="55"/>
      <c r="M25" s="55"/>
      <c r="N25" s="55"/>
      <c r="O25" s="55"/>
      <c r="P25" s="55"/>
      <c r="Q25" s="55"/>
      <c r="R25" s="55"/>
      <c r="S25" s="29"/>
    </row>
    <row r="26" customHeight="1" spans="1:19">
      <c r="A26" s="30"/>
      <c r="B26" s="32"/>
      <c r="C26" s="32"/>
      <c r="D26" s="32"/>
      <c r="E26" s="32"/>
      <c r="F26" s="32"/>
      <c r="G26" s="32"/>
      <c r="H26" s="32"/>
      <c r="I26" s="33"/>
      <c r="J26" s="45"/>
      <c r="K26" s="29"/>
      <c r="L26" s="29"/>
      <c r="M26" s="29"/>
      <c r="N26" s="29"/>
      <c r="O26" s="29"/>
      <c r="P26" s="29"/>
      <c r="Q26" s="29"/>
      <c r="R26" s="29"/>
      <c r="S26" s="29"/>
    </row>
    <row r="27" customHeight="1" spans="1:19">
      <c r="A27" s="30"/>
      <c r="B27" s="32"/>
      <c r="C27" s="32"/>
      <c r="D27" s="32"/>
      <c r="E27" s="32"/>
      <c r="F27" s="32"/>
      <c r="G27" s="32"/>
      <c r="H27" s="32"/>
      <c r="I27" s="33"/>
      <c r="J27" s="45"/>
      <c r="K27" s="29"/>
      <c r="L27" s="29"/>
      <c r="M27" s="29"/>
      <c r="N27" s="29"/>
      <c r="O27" s="29"/>
      <c r="P27" s="29"/>
      <c r="Q27" s="29"/>
      <c r="R27" s="29"/>
      <c r="S27" s="29"/>
    </row>
    <row r="28" customHeight="1" spans="1:19">
      <c r="A28" s="30"/>
      <c r="B28" s="32"/>
      <c r="C28" s="32"/>
      <c r="D28" s="32"/>
      <c r="E28" s="32"/>
      <c r="F28" s="32"/>
      <c r="G28" s="32"/>
      <c r="H28" s="32"/>
      <c r="I28" s="33"/>
      <c r="J28" s="45"/>
      <c r="K28" s="29"/>
      <c r="L28" s="29"/>
      <c r="M28" s="29"/>
      <c r="N28" s="29"/>
      <c r="O28" s="29"/>
      <c r="P28" s="29"/>
      <c r="Q28" s="29"/>
      <c r="R28" s="29"/>
      <c r="S28" s="29"/>
    </row>
    <row r="29" customHeight="1" spans="1:19">
      <c r="A29" s="30"/>
      <c r="B29" s="32"/>
      <c r="C29" s="32"/>
      <c r="D29" s="32"/>
      <c r="E29" s="32"/>
      <c r="F29" s="32"/>
      <c r="G29" s="32"/>
      <c r="H29" s="32"/>
      <c r="I29" s="31"/>
      <c r="J29" s="45"/>
      <c r="K29" s="29"/>
      <c r="L29" s="29"/>
      <c r="M29" s="29"/>
      <c r="N29" s="29"/>
      <c r="O29" s="29"/>
      <c r="P29" s="29"/>
      <c r="Q29" s="29"/>
      <c r="R29" s="29"/>
      <c r="S29" s="29"/>
    </row>
    <row r="30" customHeight="1" spans="1:19">
      <c r="A30" s="29"/>
      <c r="B30" s="29"/>
      <c r="C30" s="29"/>
      <c r="D30" s="29"/>
      <c r="E30" s="29"/>
      <c r="F30" s="29"/>
      <c r="G30" s="29"/>
      <c r="H30" s="29"/>
      <c r="I30" s="49"/>
      <c r="J30" s="56"/>
      <c r="K30" s="29"/>
      <c r="L30" s="29"/>
      <c r="M30" s="29"/>
      <c r="N30" s="29"/>
      <c r="O30" s="29"/>
      <c r="P30" s="29"/>
      <c r="Q30" s="29"/>
      <c r="R30" s="29"/>
      <c r="S30" s="29"/>
    </row>
    <row r="31" customHeight="1" spans="1:19">
      <c r="A31" s="29"/>
      <c r="B31" s="29"/>
      <c r="C31" s="29"/>
      <c r="D31" s="29"/>
      <c r="E31" s="29"/>
      <c r="F31" s="29"/>
      <c r="G31" s="29"/>
      <c r="H31" s="29"/>
      <c r="I31" s="29"/>
      <c r="J31" s="56"/>
      <c r="K31" s="29"/>
      <c r="L31" s="29"/>
      <c r="M31" s="29"/>
      <c r="N31" s="29"/>
      <c r="O31" s="29"/>
      <c r="P31" s="29"/>
      <c r="Q31" s="29"/>
      <c r="R31" s="29"/>
      <c r="S31" s="29"/>
    </row>
    <row r="32" customHeight="1" spans="1:19">
      <c r="A32" s="30"/>
      <c r="B32" s="30"/>
      <c r="C32" s="30"/>
      <c r="D32" s="30"/>
      <c r="E32" s="30"/>
      <c r="F32" s="30"/>
      <c r="G32" s="30"/>
      <c r="H32" s="30"/>
      <c r="I32" s="31"/>
      <c r="J32" s="45"/>
      <c r="K32" s="55"/>
      <c r="L32" s="55"/>
      <c r="M32" s="55"/>
      <c r="N32" s="55"/>
      <c r="O32" s="55"/>
      <c r="P32" s="55"/>
      <c r="Q32" s="55"/>
      <c r="R32" s="55"/>
      <c r="S32" s="29"/>
    </row>
    <row r="33" customHeight="1" spans="1:19">
      <c r="A33" s="30"/>
      <c r="B33" s="32"/>
      <c r="C33" s="32"/>
      <c r="D33" s="32"/>
      <c r="E33" s="32"/>
      <c r="F33" s="32"/>
      <c r="G33" s="32"/>
      <c r="H33" s="32"/>
      <c r="I33" s="31"/>
      <c r="J33" s="45"/>
      <c r="K33" s="29"/>
      <c r="L33" s="29"/>
      <c r="M33" s="29"/>
      <c r="N33" s="29"/>
      <c r="O33" s="29"/>
      <c r="P33" s="29"/>
      <c r="Q33" s="29"/>
      <c r="R33" s="29"/>
      <c r="S33" s="29"/>
    </row>
    <row r="34" customHeight="1" spans="1:19">
      <c r="A34" s="35"/>
      <c r="B34" s="36"/>
      <c r="C34" s="36"/>
      <c r="D34" s="36"/>
      <c r="E34" s="36"/>
      <c r="F34" s="36"/>
      <c r="G34" s="36"/>
      <c r="H34" s="36"/>
      <c r="I34" s="31"/>
      <c r="J34" s="45"/>
      <c r="K34" s="29"/>
      <c r="L34" s="29"/>
      <c r="M34" s="29"/>
      <c r="N34" s="29"/>
      <c r="O34" s="29"/>
      <c r="P34" s="29"/>
      <c r="Q34" s="29"/>
      <c r="R34" s="29"/>
      <c r="S34" s="29"/>
    </row>
    <row r="35" customHeight="1" spans="1:19">
      <c r="A35" s="30"/>
      <c r="B35" s="32"/>
      <c r="C35" s="32"/>
      <c r="D35" s="32"/>
      <c r="E35" s="32"/>
      <c r="F35" s="32"/>
      <c r="G35" s="32"/>
      <c r="H35" s="32"/>
      <c r="I35" s="31"/>
      <c r="J35" s="45"/>
      <c r="K35" s="29"/>
      <c r="L35" s="29"/>
      <c r="M35" s="29"/>
      <c r="N35" s="29"/>
      <c r="O35" s="29"/>
      <c r="P35" s="29"/>
      <c r="Q35" s="29"/>
      <c r="R35" s="29"/>
      <c r="S35" s="29"/>
    </row>
    <row r="36" customHeight="1" spans="1:19">
      <c r="A36" s="30"/>
      <c r="B36" s="32"/>
      <c r="C36" s="32"/>
      <c r="D36" s="32"/>
      <c r="E36" s="32"/>
      <c r="F36" s="32"/>
      <c r="G36" s="32"/>
      <c r="H36" s="32"/>
      <c r="I36" s="31"/>
      <c r="J36" s="45"/>
      <c r="K36" s="29"/>
      <c r="L36" s="29"/>
      <c r="M36" s="29"/>
      <c r="N36" s="29"/>
      <c r="O36" s="29"/>
      <c r="P36" s="29"/>
      <c r="Q36" s="29"/>
      <c r="R36" s="29"/>
      <c r="S36" s="29"/>
    </row>
    <row r="37" customHeight="1" spans="1:19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</row>
    <row r="38" customHeight="1" spans="1:19">
      <c r="A38" s="37"/>
      <c r="B38" s="38"/>
      <c r="C38" s="38"/>
      <c r="D38" s="38"/>
      <c r="E38" s="38"/>
      <c r="F38" s="38"/>
      <c r="G38" s="38"/>
      <c r="H38" s="40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37"/>
  <sheetViews>
    <sheetView workbookViewId="0">
      <selection activeCell="A1" sqref="A1"/>
    </sheetView>
  </sheetViews>
  <sheetFormatPr defaultColWidth="12.6296296296296" defaultRowHeight="15.75" customHeight="1"/>
  <cols>
    <col min="1" max="8" width="5.87962962962963" customWidth="1"/>
    <col min="9" max="9" width="8.87962962962963" customWidth="1"/>
    <col min="10" max="17" width="5.87962962962963" customWidth="1"/>
  </cols>
  <sheetData>
    <row r="1" customHeight="1" spans="1:17">
      <c r="A1" s="28" t="s">
        <v>0</v>
      </c>
      <c r="B1" s="28" t="s">
        <v>33</v>
      </c>
      <c r="C1" s="28"/>
      <c r="D1" s="28"/>
      <c r="E1" s="28"/>
      <c r="F1" s="28"/>
      <c r="G1" s="28"/>
      <c r="H1" s="28"/>
      <c r="I1" s="28" t="s">
        <v>2</v>
      </c>
      <c r="K1" s="28" t="s">
        <v>3</v>
      </c>
      <c r="L1" s="28" t="s">
        <v>33</v>
      </c>
      <c r="N1" s="28" t="s">
        <v>4</v>
      </c>
      <c r="O1" s="28"/>
      <c r="P1" s="28" t="s">
        <v>0</v>
      </c>
      <c r="Q1" s="28" t="s">
        <v>34</v>
      </c>
    </row>
    <row r="2" customHeight="1" spans="1:17">
      <c r="A2" s="29"/>
      <c r="B2" s="29"/>
      <c r="C2" s="29"/>
      <c r="D2" s="29"/>
      <c r="E2" s="29"/>
      <c r="F2" s="29"/>
      <c r="G2" s="29"/>
      <c r="H2" s="3" t="s">
        <v>6</v>
      </c>
      <c r="I2" s="4" t="s">
        <v>7</v>
      </c>
      <c r="J2" s="29"/>
      <c r="K2" s="29"/>
      <c r="L2" s="29"/>
      <c r="P2" s="29"/>
      <c r="Q2" s="29"/>
    </row>
    <row r="3" customHeight="1" spans="1:17">
      <c r="A3" s="29"/>
      <c r="B3" s="29"/>
      <c r="C3" s="29"/>
      <c r="D3" s="29"/>
      <c r="E3" s="29"/>
      <c r="F3" s="29"/>
      <c r="G3" s="29"/>
      <c r="H3" s="29" t="str">
        <f t="array" ref="H3">INDEX(B4:F4,MATCH(MIN(B7:F7),B7:F7,0))</f>
        <v>x</v>
      </c>
      <c r="I3" s="29" t="str">
        <f t="array" ref="I3">INDEX(A5:A6,MATCH(_xlfn.MINIFS(H5:H6,H5:H6,"&gt;0"),H5:H6,0))</f>
        <v>a1</v>
      </c>
      <c r="J3" s="29"/>
      <c r="K3" s="29"/>
      <c r="L3" s="29"/>
      <c r="M3" s="29"/>
      <c r="N3" s="29"/>
      <c r="O3" s="29"/>
      <c r="P3" s="29"/>
      <c r="Q3" s="29"/>
    </row>
    <row r="4" customHeight="1" spans="1:18">
      <c r="A4" s="30" t="s">
        <v>8</v>
      </c>
      <c r="B4" s="30" t="s">
        <v>9</v>
      </c>
      <c r="C4" s="30" t="s">
        <v>10</v>
      </c>
      <c r="D4" s="30" t="s">
        <v>11</v>
      </c>
      <c r="E4" s="30" t="s">
        <v>12</v>
      </c>
      <c r="F4" s="30" t="s">
        <v>15</v>
      </c>
      <c r="G4" s="30" t="s">
        <v>16</v>
      </c>
      <c r="H4" s="31" t="s">
        <v>17</v>
      </c>
      <c r="I4" s="42"/>
      <c r="K4" s="30" t="s">
        <v>8</v>
      </c>
      <c r="L4" s="52" t="s">
        <v>9</v>
      </c>
      <c r="M4" s="52" t="s">
        <v>10</v>
      </c>
      <c r="N4" s="52" t="s">
        <v>11</v>
      </c>
      <c r="O4" s="52" t="s">
        <v>12</v>
      </c>
      <c r="P4" s="52" t="s">
        <v>15</v>
      </c>
      <c r="Q4" s="52" t="s">
        <v>16</v>
      </c>
      <c r="R4" s="29" t="s">
        <v>17</v>
      </c>
    </row>
    <row r="5" customHeight="1" spans="1:18">
      <c r="A5" s="30" t="s">
        <v>11</v>
      </c>
      <c r="B5" s="32">
        <v>1</v>
      </c>
      <c r="C5" s="32">
        <v>1</v>
      </c>
      <c r="D5" s="32">
        <v>-1</v>
      </c>
      <c r="E5" s="32">
        <v>0</v>
      </c>
      <c r="F5" s="32">
        <v>0</v>
      </c>
      <c r="G5" s="32">
        <v>6</v>
      </c>
      <c r="H5" s="33">
        <f>G5/HLOOKUP($H$3,$B$4:$F$7,ROWS($C$4:$C5),0)</f>
        <v>6</v>
      </c>
      <c r="I5" s="42"/>
      <c r="K5" s="50" t="s">
        <v>11</v>
      </c>
      <c r="L5" s="32">
        <v>1</v>
      </c>
      <c r="M5" s="32">
        <v>1</v>
      </c>
      <c r="N5" s="32">
        <v>-1</v>
      </c>
      <c r="O5" s="32">
        <v>0</v>
      </c>
      <c r="P5" s="32">
        <v>0</v>
      </c>
      <c r="Q5" s="32">
        <v>6</v>
      </c>
      <c r="R5" s="33">
        <f>Q5/HLOOKUP($H$3,$B$4:$F$7,ROWS($C$4:$C5),0)</f>
        <v>6</v>
      </c>
    </row>
    <row r="6" customHeight="1" spans="1:18">
      <c r="A6" s="30" t="s">
        <v>12</v>
      </c>
      <c r="B6" s="32">
        <v>2</v>
      </c>
      <c r="C6" s="32">
        <v>1</v>
      </c>
      <c r="D6" s="32">
        <v>0</v>
      </c>
      <c r="E6" s="32">
        <v>-1</v>
      </c>
      <c r="F6" s="32">
        <v>0</v>
      </c>
      <c r="G6" s="32">
        <v>15</v>
      </c>
      <c r="H6" s="33">
        <f>G6/HLOOKUP($H$3,$B$4:$F$7,ROWS($C$4:$C6),0)</f>
        <v>7.5</v>
      </c>
      <c r="I6" s="42"/>
      <c r="K6" s="50" t="s">
        <v>12</v>
      </c>
      <c r="L6" s="32">
        <v>2</v>
      </c>
      <c r="M6" s="32">
        <v>1</v>
      </c>
      <c r="N6" s="32">
        <v>0</v>
      </c>
      <c r="O6" s="32">
        <v>-1</v>
      </c>
      <c r="P6" s="32">
        <v>0</v>
      </c>
      <c r="Q6" s="32">
        <v>15</v>
      </c>
      <c r="R6" s="33">
        <f>Q6/HLOOKUP($H$3,$B$4:$F$7,ROWS($C$4:$C6),0)</f>
        <v>7.5</v>
      </c>
    </row>
    <row r="7" customHeight="1" spans="1:18">
      <c r="A7" s="30" t="s">
        <v>18</v>
      </c>
      <c r="B7" s="32">
        <v>-6</v>
      </c>
      <c r="C7" s="32">
        <v>-5</v>
      </c>
      <c r="D7" s="32">
        <v>0</v>
      </c>
      <c r="E7" s="32">
        <v>0</v>
      </c>
      <c r="F7" s="32">
        <v>1</v>
      </c>
      <c r="G7" s="32">
        <v>0</v>
      </c>
      <c r="H7" s="33"/>
      <c r="I7" s="42"/>
      <c r="K7" s="50" t="s">
        <v>18</v>
      </c>
      <c r="L7" s="32">
        <v>6</v>
      </c>
      <c r="M7" s="32">
        <v>5</v>
      </c>
      <c r="N7" s="32">
        <v>0</v>
      </c>
      <c r="O7" s="32">
        <v>0</v>
      </c>
      <c r="P7" s="32">
        <v>1</v>
      </c>
      <c r="Q7" s="32">
        <v>0</v>
      </c>
      <c r="R7" s="33"/>
    </row>
    <row r="8" customHeight="1" spans="1:18">
      <c r="A8" s="29"/>
      <c r="B8" s="29"/>
      <c r="C8" s="29"/>
      <c r="D8" s="29"/>
      <c r="E8" s="29"/>
      <c r="F8" s="29"/>
      <c r="G8" s="29"/>
      <c r="H8" s="3" t="s">
        <v>6</v>
      </c>
      <c r="I8" s="4" t="s">
        <v>7</v>
      </c>
      <c r="K8" s="29"/>
      <c r="L8" s="29"/>
      <c r="M8" s="29"/>
      <c r="N8" s="29"/>
      <c r="O8" s="29"/>
      <c r="P8" s="29"/>
      <c r="Q8" s="29"/>
      <c r="R8" s="29"/>
    </row>
    <row r="9" customHeight="1" spans="1:18">
      <c r="A9" s="29"/>
      <c r="B9" s="29"/>
      <c r="C9" s="29"/>
      <c r="D9" s="29"/>
      <c r="F9" s="29"/>
      <c r="G9" s="29"/>
      <c r="H9" s="29" t="str">
        <f t="array" ref="H9">INDEX(B10:F10,MATCH(MIN(B13:F13),B13:F13,0))</f>
        <v>a1</v>
      </c>
      <c r="I9" s="29" t="str">
        <f t="array" ref="I9">INDEX(A11:A12,MATCH(_xlfn.MINIFS(H11:H12,H11:H12,"&gt;0"),H11:H12,0))</f>
        <v>a2</v>
      </c>
      <c r="K9" s="29"/>
      <c r="L9" s="29"/>
      <c r="M9" s="29"/>
      <c r="N9" s="29"/>
      <c r="O9" s="29"/>
      <c r="P9" s="29"/>
      <c r="Q9" s="29"/>
      <c r="R9" s="29"/>
    </row>
    <row r="10" customHeight="1" spans="1:18">
      <c r="A10" s="30" t="s">
        <v>8</v>
      </c>
      <c r="B10" s="30" t="s">
        <v>9</v>
      </c>
      <c r="C10" s="30" t="s">
        <v>10</v>
      </c>
      <c r="D10" s="30" t="s">
        <v>11</v>
      </c>
      <c r="E10" s="30" t="s">
        <v>12</v>
      </c>
      <c r="F10" s="30" t="s">
        <v>15</v>
      </c>
      <c r="G10" s="30" t="s">
        <v>16</v>
      </c>
      <c r="H10" s="31" t="s">
        <v>17</v>
      </c>
      <c r="I10" s="45" t="s">
        <v>23</v>
      </c>
      <c r="K10" s="30" t="s">
        <v>8</v>
      </c>
      <c r="L10" s="52" t="s">
        <v>9</v>
      </c>
      <c r="M10" s="52" t="s">
        <v>10</v>
      </c>
      <c r="N10" s="52" t="s">
        <v>11</v>
      </c>
      <c r="O10" s="52" t="s">
        <v>12</v>
      </c>
      <c r="P10" s="52" t="s">
        <v>15</v>
      </c>
      <c r="Q10" s="52" t="s">
        <v>16</v>
      </c>
      <c r="R10" s="29"/>
    </row>
    <row r="11" customHeight="1" spans="1:18">
      <c r="A11" s="35" t="s">
        <v>9</v>
      </c>
      <c r="B11" s="36">
        <f>IF($A11=INDEX($H$3:$H$43,(FLOOR((ROW(H11)-3)/8,1)-1)*8+1,1),B5/$I11,B5-$I11*VLOOKUP(INDEX($H$3:$H$43,(FLOOR((ROW(H11)-3)/8,1)-1)*8+1,1),$A$11:$G$13,COLUMNS($A5:B5),0))</f>
        <v>1</v>
      </c>
      <c r="C11" s="36">
        <f>IF($A11=INDEX($H$3:$H$43,(FLOOR((ROW(I11)-3)/8,1)-1)*8+1,1),C5/$I11,C5-$I11*VLOOKUP(INDEX($H$3:$H$43,(FLOOR((ROW(I11)-3)/8,1)-1)*8+1,1),$A$11:$G$13,COLUMNS($A5:C5),0))</f>
        <v>1</v>
      </c>
      <c r="D11" s="36">
        <f>IF($A11=INDEX($H$3:$H$43,(FLOOR((ROW(J11)-3)/8,1)-1)*8+1,1),D5/$I11,D5-$I11*VLOOKUP(INDEX($H$3:$H$43,(FLOOR((ROW(J11)-3)/8,1)-1)*8+1,1),$A$11:$G$13,COLUMNS($A5:D5),0))</f>
        <v>-1</v>
      </c>
      <c r="E11" s="36">
        <f>IF($A11=INDEX($H$3:$H$43,(FLOOR((ROW(K11)-3)/8,1)-1)*8+1,1),E5/$I11,E5-$I11*VLOOKUP(INDEX($H$3:$H$43,(FLOOR((ROW(K11)-3)/8,1)-1)*8+1,1),$A$11:$G$13,COLUMNS($A5:E5),0))</f>
        <v>0</v>
      </c>
      <c r="F11" s="36">
        <f>IF($A11=INDEX($H$3:$H$43,(FLOOR((ROW(N11)-3)/8,1)-1)*8+1,1),F5/$I11,F5-$I11*VLOOKUP(INDEX($H$3:$H$43,(FLOOR((ROW(N11)-3)/8,1)-1)*8+1,1),$A$11:$G$13,COLUMNS($A5:F5),0))</f>
        <v>0</v>
      </c>
      <c r="G11" s="36">
        <f>IF($A11=INDEX($H$3:$H$43,(FLOOR((ROW(O11)-3)/8,1)-1)*8+1,1),G5/$I11,G5-$I11*VLOOKUP(INDEX($H$3:$H$43,(FLOOR((ROW(O11)-3)/8,1)-1)*8+1,1),$A$11:$G$13,COLUMNS($A5:G5),0))</f>
        <v>6</v>
      </c>
      <c r="H11" s="33">
        <f>G11/HLOOKUP($H$9,$B$10:$F$13,ROWS($C$10:$C11),0)</f>
        <v>-6</v>
      </c>
      <c r="I11" s="45">
        <f>HLOOKUP(INDEX($H$3:$H$43,(FLOOR((ROW(H11)-3)/8,1)-1)*8+1,1),$B$4:$F$7,ROWS($C$4:$C5),0)</f>
        <v>1</v>
      </c>
      <c r="K11" s="53" t="s">
        <v>9</v>
      </c>
      <c r="L11" s="54">
        <v>1</v>
      </c>
      <c r="M11" s="54">
        <v>1</v>
      </c>
      <c r="N11" s="54">
        <v>-1</v>
      </c>
      <c r="O11" s="54">
        <v>0</v>
      </c>
      <c r="P11" s="54">
        <v>0</v>
      </c>
      <c r="Q11" s="54">
        <v>6</v>
      </c>
      <c r="R11" s="29">
        <f>Q11/M11</f>
        <v>6</v>
      </c>
    </row>
    <row r="12" customHeight="1" spans="1:18">
      <c r="A12" s="30" t="s">
        <v>12</v>
      </c>
      <c r="B12" s="32">
        <f>IF($A12=INDEX($H$3:$H$43,(FLOOR((ROW(H12)-3)/8,1)-1)*8+1,1),B6/$I12,B6-$I12*VLOOKUP(INDEX($H$3:$H$43,(FLOOR((ROW(H12)-3)/8,1)-1)*8+1,1),$A$11:$G$13,COLUMNS($A6:B6),0))</f>
        <v>0</v>
      </c>
      <c r="C12" s="32">
        <f>IF($A12=INDEX($H$3:$H$43,(FLOOR((ROW(I12)-3)/8,1)-1)*8+1,1),C6/$I12,C6-$I12*VLOOKUP(INDEX($H$3:$H$43,(FLOOR((ROW(I12)-3)/8,1)-1)*8+1,1),$A$11:$G$13,COLUMNS($A6:C6),0))</f>
        <v>-1</v>
      </c>
      <c r="D12" s="32">
        <f>IF($A12=INDEX($H$3:$H$43,(FLOOR((ROW(J12)-3)/8,1)-1)*8+1,1),D6/$I12,D6-$I12*VLOOKUP(INDEX($H$3:$H$43,(FLOOR((ROW(J12)-3)/8,1)-1)*8+1,1),$A$11:$G$13,COLUMNS($A6:D6),0))</f>
        <v>2</v>
      </c>
      <c r="E12" s="32">
        <f>IF($A12=INDEX($H$3:$H$43,(FLOOR((ROW(K12)-3)/8,1)-1)*8+1,1),E6/$I12,E6-$I12*VLOOKUP(INDEX($H$3:$H$43,(FLOOR((ROW(K12)-3)/8,1)-1)*8+1,1),$A$11:$G$13,COLUMNS($A6:E6),0))</f>
        <v>-1</v>
      </c>
      <c r="F12" s="32">
        <f>IF($A12=INDEX($H$3:$H$43,(FLOOR((ROW(N12)-3)/8,1)-1)*8+1,1),F6/$I12,F6-$I12*VLOOKUP(INDEX($H$3:$H$43,(FLOOR((ROW(N12)-3)/8,1)-1)*8+1,1),$A$11:$G$13,COLUMNS($A6:F6),0))</f>
        <v>0</v>
      </c>
      <c r="G12" s="32">
        <f>IF($A12=INDEX($H$3:$H$43,(FLOOR((ROW(O12)-3)/8,1)-1)*8+1,1),G6/$I12,G6-$I12*VLOOKUP(INDEX($H$3:$H$43,(FLOOR((ROW(O12)-3)/8,1)-1)*8+1,1),$A$11:$G$13,COLUMNS($A6:G6),0))</f>
        <v>3</v>
      </c>
      <c r="H12" s="33">
        <f>G12/HLOOKUP($H$9,$B$10:$F$13,ROWS($C$10:$C12),0)</f>
        <v>1.5</v>
      </c>
      <c r="I12" s="45">
        <f>HLOOKUP(INDEX($H$3:$H$43,(FLOOR((ROW(H12)-3)/8,1)-1)*8+1,1),$B$4:$F$7,ROWS($C$4:$C6),0)</f>
        <v>2</v>
      </c>
      <c r="K12" s="50" t="s">
        <v>12</v>
      </c>
      <c r="L12" s="51">
        <v>0</v>
      </c>
      <c r="M12" s="51">
        <v>-1</v>
      </c>
      <c r="N12" s="51">
        <v>2</v>
      </c>
      <c r="O12" s="51">
        <v>-1</v>
      </c>
      <c r="P12" s="51">
        <v>0</v>
      </c>
      <c r="Q12" s="51">
        <v>3</v>
      </c>
      <c r="R12" s="29">
        <v>-3</v>
      </c>
    </row>
    <row r="13" customHeight="1" spans="1:18">
      <c r="A13" s="30" t="s">
        <v>18</v>
      </c>
      <c r="B13" s="32">
        <f>IF($A13=INDEX($H$3:$H$43,(FLOOR((ROW(H13)-3)/8,1)-1)*8+1,1),B7/$I13,B7-$I13*VLOOKUP(INDEX($H$3:$H$43,(FLOOR((ROW(H13)-3)/8,1)-1)*8+1,1),$A$11:$G$13,COLUMNS($A7:B7),0))</f>
        <v>0</v>
      </c>
      <c r="C13" s="32">
        <f>IF($A13=INDEX($H$3:$H$43,(FLOOR((ROW(I13)-3)/8,1)-1)*8+1,1),C7/$I13,C7-$I13*VLOOKUP(INDEX($H$3:$H$43,(FLOOR((ROW(I13)-3)/8,1)-1)*8+1,1),$A$11:$G$13,COLUMNS($A7:C7),0))</f>
        <v>1</v>
      </c>
      <c r="D13" s="32">
        <f>IF($A13=INDEX($H$3:$H$43,(FLOOR((ROW(J13)-3)/8,1)-1)*8+1,1),D7/$I13,D7-$I13*VLOOKUP(INDEX($H$3:$H$43,(FLOOR((ROW(J13)-3)/8,1)-1)*8+1,1),$A$11:$G$13,COLUMNS($A7:D7),0))</f>
        <v>-6</v>
      </c>
      <c r="E13" s="32">
        <f>IF($A13=INDEX($H$3:$H$43,(FLOOR((ROW(K13)-3)/8,1)-1)*8+1,1),E7/$I13,E7-$I13*VLOOKUP(INDEX($H$3:$H$43,(FLOOR((ROW(K13)-3)/8,1)-1)*8+1,1),$A$11:$G$13,COLUMNS($A7:E7),0))</f>
        <v>0</v>
      </c>
      <c r="F13" s="32">
        <f>IF($A13=INDEX($H$3:$H$43,(FLOOR((ROW(N13)-3)/8,1)-1)*8+1,1),F7/$I13,F7-$I13*VLOOKUP(INDEX($H$3:$H$43,(FLOOR((ROW(N13)-3)/8,1)-1)*8+1,1),$A$11:$G$13,COLUMNS($A7:F7),0))</f>
        <v>1</v>
      </c>
      <c r="G13" s="32">
        <f>IF($A13=INDEX($H$3:$H$43,(FLOOR((ROW(O13)-3)/8,1)-1)*8+1,1),G7/$I13,G7-$I13*VLOOKUP(INDEX($H$3:$H$43,(FLOOR((ROW(O13)-3)/8,1)-1)*8+1,1),$A$11:$G$13,COLUMNS($A7:G7),0))</f>
        <v>36</v>
      </c>
      <c r="H13" s="31"/>
      <c r="I13" s="45">
        <f>HLOOKUP(INDEX($H$3:$H$43,(FLOOR((ROW(H13)-3)/8,1)-1)*8+1,1),$B$4:$F$7,ROWS($C$4:$C7),0)</f>
        <v>-6</v>
      </c>
      <c r="K13" s="50" t="s">
        <v>18</v>
      </c>
      <c r="L13" s="51">
        <f t="shared" ref="L13:Q13" si="0">L7-6*L5</f>
        <v>0</v>
      </c>
      <c r="M13" s="51">
        <f t="shared" si="0"/>
        <v>-1</v>
      </c>
      <c r="N13" s="51">
        <f t="shared" si="0"/>
        <v>6</v>
      </c>
      <c r="O13" s="51">
        <f t="shared" si="0"/>
        <v>0</v>
      </c>
      <c r="P13" s="51">
        <f t="shared" si="0"/>
        <v>1</v>
      </c>
      <c r="Q13" s="51">
        <f t="shared" si="0"/>
        <v>-36</v>
      </c>
      <c r="R13" s="29"/>
    </row>
    <row r="14" customHeight="1" spans="1:18">
      <c r="A14" s="29"/>
      <c r="B14" s="29"/>
      <c r="C14" s="29"/>
      <c r="D14" s="29"/>
      <c r="E14" s="29"/>
      <c r="F14" s="29"/>
      <c r="G14" s="29"/>
      <c r="H14" s="3" t="s">
        <v>6</v>
      </c>
      <c r="I14" s="4" t="s">
        <v>7</v>
      </c>
      <c r="K14" s="29"/>
      <c r="L14" s="29"/>
      <c r="M14" s="29"/>
      <c r="N14" s="29"/>
      <c r="O14" s="29"/>
      <c r="P14" s="29"/>
      <c r="Q14" s="29"/>
      <c r="R14" s="29"/>
    </row>
    <row r="15" customHeight="1" spans="1:18">
      <c r="A15" s="29"/>
      <c r="B15" s="29"/>
      <c r="C15" s="29"/>
      <c r="D15" s="29"/>
      <c r="E15" s="29"/>
      <c r="F15" s="29"/>
      <c r="G15" s="29"/>
      <c r="H15" s="29" t="str">
        <f t="array" ref="H15">INDEX(B16:F16,MATCH(MIN(B19:F19),B19:F19,0))</f>
        <v>a2</v>
      </c>
      <c r="I15" s="29" t="e">
        <f t="array" ref="I15">INDEX(A17:A18,MATCH(_xlfn.MINIFS(H17:H18,H17:H18,"&gt;0"),H17:H18,0))</f>
        <v>#N/A</v>
      </c>
      <c r="R15" s="29"/>
    </row>
    <row r="16" customHeight="1" spans="1:18">
      <c r="A16" s="30" t="s">
        <v>8</v>
      </c>
      <c r="B16" s="30" t="s">
        <v>9</v>
      </c>
      <c r="C16" s="30" t="s">
        <v>10</v>
      </c>
      <c r="D16" s="30" t="s">
        <v>11</v>
      </c>
      <c r="E16" s="30" t="s">
        <v>12</v>
      </c>
      <c r="F16" s="30" t="s">
        <v>15</v>
      </c>
      <c r="G16" s="30" t="s">
        <v>16</v>
      </c>
      <c r="H16" s="31" t="s">
        <v>17</v>
      </c>
      <c r="I16" s="45" t="s">
        <v>23</v>
      </c>
      <c r="K16" s="30" t="s">
        <v>8</v>
      </c>
      <c r="L16" s="52" t="s">
        <v>9</v>
      </c>
      <c r="M16" s="52" t="s">
        <v>10</v>
      </c>
      <c r="N16" s="52" t="s">
        <v>11</v>
      </c>
      <c r="O16" s="52" t="s">
        <v>12</v>
      </c>
      <c r="P16" s="52" t="s">
        <v>15</v>
      </c>
      <c r="Q16" s="52" t="s">
        <v>16</v>
      </c>
      <c r="R16" s="29"/>
    </row>
    <row r="17" customHeight="1" spans="1:18">
      <c r="A17" s="30" t="s">
        <v>9</v>
      </c>
      <c r="B17" s="32">
        <f t="shared" ref="B17:G17" si="1">B12+B11*2</f>
        <v>2</v>
      </c>
      <c r="C17" s="32">
        <f t="shared" si="1"/>
        <v>1</v>
      </c>
      <c r="D17" s="32">
        <f t="shared" si="1"/>
        <v>0</v>
      </c>
      <c r="E17" s="32">
        <f t="shared" si="1"/>
        <v>-1</v>
      </c>
      <c r="F17" s="32">
        <f t="shared" si="1"/>
        <v>0</v>
      </c>
      <c r="G17" s="32">
        <f t="shared" si="1"/>
        <v>15</v>
      </c>
      <c r="H17" s="33">
        <v>-15</v>
      </c>
      <c r="I17" s="45">
        <f>HLOOKUP(INDEX($H$3:$H$43,(FLOOR((ROW(H17)-3)/8,1)-1)*8+1,1),$B$10:$F$13,ROWS($C$10:$C11),0)</f>
        <v>1</v>
      </c>
      <c r="K17" s="53" t="s">
        <v>10</v>
      </c>
      <c r="L17" s="54">
        <v>1</v>
      </c>
      <c r="M17" s="54">
        <v>1</v>
      </c>
      <c r="N17" s="54">
        <v>-1</v>
      </c>
      <c r="O17" s="54">
        <v>0</v>
      </c>
      <c r="P17" s="54">
        <v>0</v>
      </c>
      <c r="Q17" s="54">
        <v>6</v>
      </c>
      <c r="R17" s="29"/>
    </row>
    <row r="18" customHeight="1" spans="1:17">
      <c r="A18" s="35" t="s">
        <v>11</v>
      </c>
      <c r="B18" s="36">
        <v>0</v>
      </c>
      <c r="C18" s="36">
        <v>-1</v>
      </c>
      <c r="D18" s="36">
        <v>2</v>
      </c>
      <c r="E18" s="36">
        <v>-1</v>
      </c>
      <c r="F18" s="36">
        <v>0</v>
      </c>
      <c r="G18" s="36">
        <v>3</v>
      </c>
      <c r="H18" s="36">
        <f>G18/E18</f>
        <v>-3</v>
      </c>
      <c r="I18" s="45">
        <f>HLOOKUP(INDEX($H$3:$H$43,(FLOOR((ROW(H18)-3)/8,1)-1)*8+1,1),$B$10:$F$13,ROWS($C$10:$C12),0)</f>
        <v>0</v>
      </c>
      <c r="J18" s="29"/>
      <c r="K18" s="50" t="s">
        <v>12</v>
      </c>
      <c r="L18" s="51">
        <f t="shared" ref="L18:Q18" si="2">L12+L11</f>
        <v>1</v>
      </c>
      <c r="M18" s="51">
        <f t="shared" si="2"/>
        <v>0</v>
      </c>
      <c r="N18" s="51">
        <f t="shared" si="2"/>
        <v>1</v>
      </c>
      <c r="O18" s="51">
        <f t="shared" si="2"/>
        <v>-1</v>
      </c>
      <c r="P18" s="51">
        <f t="shared" si="2"/>
        <v>0</v>
      </c>
      <c r="Q18" s="51">
        <f t="shared" si="2"/>
        <v>9</v>
      </c>
    </row>
    <row r="19" customHeight="1" spans="1:17">
      <c r="A19" s="30" t="s">
        <v>18</v>
      </c>
      <c r="B19" s="32">
        <f t="shared" ref="B19:G19" si="3">B13+3*B12</f>
        <v>0</v>
      </c>
      <c r="C19" s="32">
        <f t="shared" si="3"/>
        <v>-2</v>
      </c>
      <c r="D19" s="32">
        <f t="shared" si="3"/>
        <v>0</v>
      </c>
      <c r="E19" s="32">
        <f t="shared" si="3"/>
        <v>-3</v>
      </c>
      <c r="F19" s="32">
        <f t="shared" si="3"/>
        <v>1</v>
      </c>
      <c r="G19" s="32">
        <f t="shared" si="3"/>
        <v>45</v>
      </c>
      <c r="H19" s="32"/>
      <c r="I19" s="42">
        <f>D13</f>
        <v>-6</v>
      </c>
      <c r="J19" s="29"/>
      <c r="K19" s="50" t="s">
        <v>18</v>
      </c>
      <c r="L19" s="51">
        <f t="shared" ref="L19:Q19" si="4">L13+L11</f>
        <v>1</v>
      </c>
      <c r="M19" s="51">
        <f t="shared" si="4"/>
        <v>0</v>
      </c>
      <c r="N19" s="51">
        <f t="shared" si="4"/>
        <v>5</v>
      </c>
      <c r="O19" s="51">
        <f t="shared" si="4"/>
        <v>0</v>
      </c>
      <c r="P19" s="51">
        <f t="shared" si="4"/>
        <v>1</v>
      </c>
      <c r="Q19" s="51">
        <f t="shared" si="4"/>
        <v>-30</v>
      </c>
    </row>
    <row r="20" customHeight="1" spans="1:17">
      <c r="A20" s="29"/>
      <c r="B20" s="29"/>
      <c r="C20" s="29" t="s">
        <v>35</v>
      </c>
      <c r="D20" s="29"/>
      <c r="E20" s="29"/>
      <c r="F20" s="29"/>
      <c r="G20" s="29"/>
      <c r="J20" s="29"/>
      <c r="K20" s="37" t="s">
        <v>24</v>
      </c>
      <c r="L20" s="38">
        <v>0</v>
      </c>
      <c r="M20" s="38">
        <v>6</v>
      </c>
      <c r="N20" s="38">
        <v>0</v>
      </c>
      <c r="O20" s="38">
        <v>-9</v>
      </c>
      <c r="P20" s="38"/>
      <c r="Q20" s="38">
        <v>-30</v>
      </c>
    </row>
    <row r="21" customHeight="1" spans="1:17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55"/>
      <c r="L21" s="55"/>
      <c r="M21" s="55"/>
      <c r="N21" s="55"/>
      <c r="O21" s="55"/>
      <c r="P21" s="55"/>
      <c r="Q21" s="55"/>
    </row>
    <row r="22" customHeight="1" spans="1:17">
      <c r="A22" s="30"/>
      <c r="B22" s="30"/>
      <c r="C22" s="30"/>
      <c r="D22" s="30"/>
      <c r="E22" s="30"/>
      <c r="F22" s="30"/>
      <c r="G22" s="30"/>
      <c r="H22" s="31"/>
      <c r="I22" s="45"/>
      <c r="J22" s="55"/>
      <c r="K22" s="37" t="s">
        <v>36</v>
      </c>
      <c r="L22" s="29"/>
      <c r="M22" s="29"/>
      <c r="N22" s="29"/>
      <c r="O22" s="29"/>
      <c r="P22" s="29"/>
      <c r="Q22" s="29"/>
    </row>
    <row r="23" customHeight="1" spans="1:17">
      <c r="A23" s="30"/>
      <c r="B23" s="32"/>
      <c r="C23" s="32"/>
      <c r="D23" s="32"/>
      <c r="E23" s="32"/>
      <c r="F23" s="32"/>
      <c r="G23" s="32"/>
      <c r="H23" s="33"/>
      <c r="I23" s="45"/>
      <c r="J23" s="29"/>
      <c r="K23" s="29"/>
      <c r="L23" s="29"/>
      <c r="M23" s="29"/>
      <c r="N23" s="29"/>
      <c r="O23" s="29"/>
      <c r="P23" s="29"/>
      <c r="Q23" s="29"/>
    </row>
    <row r="24" customHeight="1" spans="1:17">
      <c r="A24" s="30"/>
      <c r="B24" s="32"/>
      <c r="C24" s="32"/>
      <c r="D24" s="32"/>
      <c r="E24" s="32"/>
      <c r="F24" s="32"/>
      <c r="G24" s="32"/>
      <c r="H24" s="33"/>
      <c r="I24" s="45"/>
      <c r="J24" s="29"/>
      <c r="K24" s="29"/>
      <c r="L24" s="29"/>
      <c r="M24" s="29"/>
      <c r="N24" s="29"/>
      <c r="O24" s="29"/>
      <c r="P24" s="29"/>
      <c r="Q24" s="29"/>
    </row>
    <row r="25" customHeight="1" spans="1:17">
      <c r="A25" s="30"/>
      <c r="B25" s="32"/>
      <c r="C25" s="32"/>
      <c r="D25" s="32"/>
      <c r="E25" s="32"/>
      <c r="F25" s="32"/>
      <c r="G25" s="32"/>
      <c r="H25" s="33"/>
      <c r="I25" s="45"/>
      <c r="J25" s="29"/>
      <c r="K25" s="29"/>
      <c r="L25" s="29"/>
      <c r="M25" s="29"/>
      <c r="N25" s="29"/>
      <c r="O25" s="29"/>
      <c r="P25" s="29"/>
      <c r="Q25" s="29"/>
    </row>
    <row r="26" customHeight="1" spans="1:17">
      <c r="A26" s="35"/>
      <c r="B26" s="36"/>
      <c r="C26" s="36"/>
      <c r="D26" s="36"/>
      <c r="E26" s="36"/>
      <c r="F26" s="36"/>
      <c r="G26" s="36"/>
      <c r="H26" s="36"/>
      <c r="I26" s="45"/>
      <c r="J26" s="29"/>
      <c r="K26" s="29"/>
      <c r="L26" s="29"/>
      <c r="M26" s="29"/>
      <c r="N26" s="29"/>
      <c r="O26" s="29"/>
      <c r="P26" s="29"/>
      <c r="Q26" s="29"/>
    </row>
    <row r="27" customHeight="1" spans="1:17">
      <c r="A27" s="30"/>
      <c r="B27" s="32"/>
      <c r="C27" s="32"/>
      <c r="D27" s="32"/>
      <c r="E27" s="32"/>
      <c r="F27" s="32"/>
      <c r="G27" s="32"/>
      <c r="H27" s="31"/>
      <c r="I27" s="45"/>
      <c r="J27" s="29"/>
      <c r="K27" s="29"/>
      <c r="L27" s="29"/>
      <c r="M27" s="29"/>
      <c r="N27" s="29"/>
      <c r="O27" s="29"/>
      <c r="P27" s="29"/>
      <c r="Q27" s="29"/>
    </row>
    <row r="28" customHeight="1" spans="1:17">
      <c r="A28" s="29"/>
      <c r="B28" s="29"/>
      <c r="C28" s="29"/>
      <c r="D28" s="29"/>
      <c r="E28" s="29"/>
      <c r="F28" s="29"/>
      <c r="G28" s="29"/>
      <c r="H28" s="49"/>
      <c r="I28" s="56"/>
      <c r="J28" s="29"/>
      <c r="K28" s="29"/>
      <c r="L28" s="29"/>
      <c r="M28" s="29"/>
      <c r="N28" s="29"/>
      <c r="O28" s="29"/>
      <c r="P28" s="29"/>
      <c r="Q28" s="29"/>
    </row>
    <row r="29" customHeight="1" spans="1:17">
      <c r="A29" s="29"/>
      <c r="B29" s="29"/>
      <c r="C29" s="29"/>
      <c r="D29" s="29"/>
      <c r="E29" s="29"/>
      <c r="F29" s="29"/>
      <c r="G29" s="29"/>
      <c r="H29" s="29"/>
      <c r="I29" s="56"/>
      <c r="J29" s="29"/>
      <c r="K29" s="29"/>
      <c r="L29" s="29"/>
      <c r="M29" s="29"/>
      <c r="N29" s="29"/>
      <c r="O29" s="29"/>
      <c r="P29" s="29"/>
      <c r="Q29" s="29"/>
    </row>
    <row r="30" customHeight="1" spans="1:17">
      <c r="A30" s="30"/>
      <c r="B30" s="30"/>
      <c r="C30" s="30"/>
      <c r="D30" s="30"/>
      <c r="E30" s="30"/>
      <c r="F30" s="30"/>
      <c r="G30" s="30"/>
      <c r="H30" s="31"/>
      <c r="I30" s="45"/>
      <c r="J30" s="55"/>
      <c r="K30" s="55"/>
      <c r="L30" s="55"/>
      <c r="M30" s="55"/>
      <c r="N30" s="55"/>
      <c r="O30" s="55"/>
      <c r="P30" s="55"/>
      <c r="Q30" s="29"/>
    </row>
    <row r="31" customHeight="1" spans="1:17">
      <c r="A31" s="30"/>
      <c r="B31" s="32"/>
      <c r="C31" s="32"/>
      <c r="D31" s="32"/>
      <c r="E31" s="32"/>
      <c r="F31" s="32"/>
      <c r="G31" s="32"/>
      <c r="H31" s="31"/>
      <c r="I31" s="45"/>
      <c r="J31" s="29"/>
      <c r="K31" s="29"/>
      <c r="L31" s="29"/>
      <c r="M31" s="29"/>
      <c r="N31" s="29"/>
      <c r="O31" s="29"/>
      <c r="P31" s="29"/>
      <c r="Q31" s="29"/>
    </row>
    <row r="32" customHeight="1" spans="1:17">
      <c r="A32" s="35"/>
      <c r="B32" s="36"/>
      <c r="C32" s="36"/>
      <c r="D32" s="36"/>
      <c r="E32" s="36"/>
      <c r="F32" s="36"/>
      <c r="G32" s="36"/>
      <c r="H32" s="31"/>
      <c r="I32" s="45"/>
      <c r="J32" s="29"/>
      <c r="K32" s="29"/>
      <c r="L32" s="29"/>
      <c r="M32" s="29"/>
      <c r="N32" s="29"/>
      <c r="O32" s="29"/>
      <c r="P32" s="29"/>
      <c r="Q32" s="29"/>
    </row>
    <row r="33" customHeight="1" spans="1:17">
      <c r="A33" s="30"/>
      <c r="B33" s="32"/>
      <c r="C33" s="32"/>
      <c r="D33" s="32"/>
      <c r="E33" s="32"/>
      <c r="F33" s="32"/>
      <c r="G33" s="32"/>
      <c r="H33" s="31"/>
      <c r="I33" s="45"/>
      <c r="J33" s="29"/>
      <c r="K33" s="29"/>
      <c r="L33" s="29"/>
      <c r="M33" s="29"/>
      <c r="N33" s="29"/>
      <c r="O33" s="29"/>
      <c r="P33" s="29"/>
      <c r="Q33" s="29"/>
    </row>
    <row r="34" customHeight="1" spans="1:17">
      <c r="A34" s="30"/>
      <c r="B34" s="32"/>
      <c r="C34" s="32"/>
      <c r="D34" s="32"/>
      <c r="E34" s="32"/>
      <c r="F34" s="32"/>
      <c r="G34" s="32"/>
      <c r="H34" s="31"/>
      <c r="I34" s="45"/>
      <c r="J34" s="29"/>
      <c r="K34" s="29"/>
      <c r="L34" s="29"/>
      <c r="M34" s="29"/>
      <c r="N34" s="29"/>
      <c r="O34" s="29"/>
      <c r="P34" s="29"/>
      <c r="Q34" s="29"/>
    </row>
    <row r="35" customHeight="1" spans="1:17">
      <c r="A35" s="30"/>
      <c r="B35" s="32"/>
      <c r="C35" s="32"/>
      <c r="D35" s="32"/>
      <c r="E35" s="32"/>
      <c r="F35" s="32"/>
      <c r="G35" s="32"/>
      <c r="H35" s="31"/>
      <c r="I35" s="45"/>
      <c r="J35" s="29"/>
      <c r="K35" s="29"/>
      <c r="L35" s="29"/>
      <c r="M35" s="29"/>
      <c r="N35" s="29"/>
      <c r="O35" s="29"/>
      <c r="P35" s="29"/>
      <c r="Q35" s="29"/>
    </row>
    <row r="36" customHeight="1" spans="1:17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</row>
    <row r="37" customHeight="1" spans="1:17">
      <c r="A37" s="37"/>
      <c r="B37" s="38"/>
      <c r="C37" s="38"/>
      <c r="D37" s="38"/>
      <c r="E37" s="38"/>
      <c r="F37" s="38"/>
      <c r="G37" s="40"/>
      <c r="H37" s="29"/>
      <c r="I37" s="29"/>
      <c r="J37" s="29"/>
      <c r="K37" s="29"/>
      <c r="L37" s="29"/>
      <c r="M37" s="29"/>
      <c r="N37" s="29"/>
      <c r="O37" s="29"/>
      <c r="P37" s="29"/>
      <c r="Q37" s="2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37"/>
  <sheetViews>
    <sheetView workbookViewId="0">
      <selection activeCell="A1" sqref="A1"/>
    </sheetView>
  </sheetViews>
  <sheetFormatPr defaultColWidth="12.6296296296296" defaultRowHeight="15.75" customHeight="1"/>
  <cols>
    <col min="1" max="8" width="5.87962962962963" customWidth="1"/>
    <col min="9" max="9" width="8.87962962962963" customWidth="1"/>
    <col min="10" max="17" width="5.87962962962963" customWidth="1"/>
    <col min="19" max="19" width="10" customWidth="1"/>
    <col min="20" max="25" width="5.62962962962963" customWidth="1"/>
    <col min="26" max="26" width="12.8796296296296" customWidth="1"/>
  </cols>
  <sheetData>
    <row r="1" customHeight="1" spans="1:21">
      <c r="A1" s="28"/>
      <c r="B1" s="28"/>
      <c r="C1" s="28"/>
      <c r="D1" s="28"/>
      <c r="E1" s="28"/>
      <c r="F1" s="28"/>
      <c r="G1" s="28"/>
      <c r="H1" s="28"/>
      <c r="I1" s="28"/>
      <c r="K1" s="28" t="s">
        <v>3</v>
      </c>
      <c r="L1" s="28" t="s">
        <v>37</v>
      </c>
      <c r="N1" s="28" t="s">
        <v>4</v>
      </c>
      <c r="O1" s="28"/>
      <c r="P1" s="28" t="s">
        <v>0</v>
      </c>
      <c r="Q1" s="28" t="s">
        <v>38</v>
      </c>
      <c r="S1" s="3" t="s">
        <v>39</v>
      </c>
      <c r="T1" s="3" t="s">
        <v>40</v>
      </c>
      <c r="U1" s="3" t="s">
        <v>41</v>
      </c>
    </row>
    <row r="2" customHeight="1" spans="1:21">
      <c r="A2" s="29"/>
      <c r="B2" s="29"/>
      <c r="C2" s="29"/>
      <c r="D2" s="29"/>
      <c r="E2" s="29"/>
      <c r="F2" s="29"/>
      <c r="G2" s="29"/>
      <c r="J2" s="29"/>
      <c r="K2" s="29"/>
      <c r="L2" s="29"/>
      <c r="P2" s="29"/>
      <c r="Q2" s="29"/>
      <c r="S2" s="3" t="s">
        <v>42</v>
      </c>
      <c r="T2" s="3" t="s">
        <v>40</v>
      </c>
      <c r="U2" s="3" t="s">
        <v>43</v>
      </c>
    </row>
    <row r="3" customHeight="1" spans="1:17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customHeight="1" spans="1:18">
      <c r="A4" s="30"/>
      <c r="B4" s="30"/>
      <c r="C4" s="30"/>
      <c r="D4" s="30"/>
      <c r="E4" s="30"/>
      <c r="F4" s="30"/>
      <c r="G4" s="30"/>
      <c r="H4" s="31"/>
      <c r="I4" s="42"/>
      <c r="K4" s="30" t="s">
        <v>8</v>
      </c>
      <c r="L4" s="52" t="s">
        <v>9</v>
      </c>
      <c r="M4" s="52" t="s">
        <v>10</v>
      </c>
      <c r="N4" s="52" t="s">
        <v>11</v>
      </c>
      <c r="O4" s="52" t="s">
        <v>12</v>
      </c>
      <c r="P4" s="52" t="s">
        <v>15</v>
      </c>
      <c r="Q4" s="52" t="s">
        <v>16</v>
      </c>
      <c r="R4" s="29" t="s">
        <v>17</v>
      </c>
    </row>
    <row r="5" customHeight="1" spans="1:18">
      <c r="A5" s="30"/>
      <c r="B5" s="32"/>
      <c r="C5" s="32"/>
      <c r="D5" s="32"/>
      <c r="E5" s="32"/>
      <c r="F5" s="32"/>
      <c r="G5" s="32"/>
      <c r="H5" s="33"/>
      <c r="I5" s="42"/>
      <c r="K5" s="50" t="s">
        <v>11</v>
      </c>
      <c r="L5" s="32">
        <v>2</v>
      </c>
      <c r="M5" s="32">
        <v>-3</v>
      </c>
      <c r="N5" s="32">
        <v>1</v>
      </c>
      <c r="O5" s="32">
        <v>0</v>
      </c>
      <c r="P5" s="32">
        <v>0</v>
      </c>
      <c r="Q5" s="32">
        <v>5</v>
      </c>
      <c r="R5" s="33" t="s">
        <v>44</v>
      </c>
    </row>
    <row r="6" customHeight="1" spans="1:18">
      <c r="A6" s="30"/>
      <c r="B6" s="32"/>
      <c r="C6" s="32"/>
      <c r="D6" s="32"/>
      <c r="E6" s="32"/>
      <c r="F6" s="32"/>
      <c r="G6" s="32"/>
      <c r="H6" s="33"/>
      <c r="I6" s="42"/>
      <c r="K6" s="50" t="s">
        <v>12</v>
      </c>
      <c r="L6" s="32">
        <v>1</v>
      </c>
      <c r="M6" s="32">
        <v>3</v>
      </c>
      <c r="N6" s="32">
        <v>0</v>
      </c>
      <c r="O6" s="32">
        <v>-1</v>
      </c>
      <c r="P6" s="32">
        <v>0</v>
      </c>
      <c r="Q6" s="32">
        <v>7</v>
      </c>
      <c r="R6" s="33" t="s">
        <v>45</v>
      </c>
    </row>
    <row r="7" customHeight="1" spans="1:18">
      <c r="A7" s="30"/>
      <c r="B7" s="32"/>
      <c r="C7" s="32"/>
      <c r="D7" s="32"/>
      <c r="E7" s="32"/>
      <c r="F7" s="32"/>
      <c r="G7" s="32"/>
      <c r="H7" s="33"/>
      <c r="I7" s="42"/>
      <c r="K7" s="50" t="s">
        <v>18</v>
      </c>
      <c r="L7" s="32">
        <v>2</v>
      </c>
      <c r="M7" s="32">
        <v>6</v>
      </c>
      <c r="N7" s="32">
        <v>0</v>
      </c>
      <c r="O7" s="32">
        <v>0</v>
      </c>
      <c r="P7" s="32">
        <v>1</v>
      </c>
      <c r="Q7" s="32">
        <v>0</v>
      </c>
      <c r="R7" s="33"/>
    </row>
    <row r="8" customHeight="1" spans="1:19">
      <c r="A8" s="29"/>
      <c r="B8" s="29"/>
      <c r="C8" s="29"/>
      <c r="D8" s="29"/>
      <c r="E8" s="29"/>
      <c r="F8" s="29"/>
      <c r="G8" s="29"/>
      <c r="K8" s="29"/>
      <c r="L8" s="29"/>
      <c r="M8" s="29"/>
      <c r="N8" s="29"/>
      <c r="O8" s="29"/>
      <c r="P8" s="29"/>
      <c r="Q8" s="29"/>
      <c r="R8" s="29"/>
      <c r="S8" s="3" t="s">
        <v>46</v>
      </c>
    </row>
    <row r="9" customHeight="1" spans="1:18">
      <c r="A9" s="29"/>
      <c r="B9" s="29"/>
      <c r="C9" s="29"/>
      <c r="D9" s="29"/>
      <c r="F9" s="29"/>
      <c r="G9" s="29"/>
      <c r="H9" s="29"/>
      <c r="I9" s="29"/>
      <c r="K9" s="29"/>
      <c r="L9" s="29"/>
      <c r="M9" s="29"/>
      <c r="N9" s="29"/>
      <c r="O9" s="29"/>
      <c r="P9" s="29"/>
      <c r="Q9" s="29"/>
      <c r="R9" s="29"/>
    </row>
    <row r="10" customHeight="1" spans="1:26">
      <c r="A10" s="30"/>
      <c r="B10" s="30"/>
      <c r="C10" s="30"/>
      <c r="D10" s="30"/>
      <c r="E10" s="30"/>
      <c r="F10" s="30"/>
      <c r="G10" s="30"/>
      <c r="H10" s="31"/>
      <c r="I10" s="45"/>
      <c r="K10" s="30" t="s">
        <v>8</v>
      </c>
      <c r="L10" s="52" t="s">
        <v>9</v>
      </c>
      <c r="M10" s="52" t="s">
        <v>10</v>
      </c>
      <c r="N10" s="52" t="s">
        <v>11</v>
      </c>
      <c r="O10" s="52" t="s">
        <v>12</v>
      </c>
      <c r="P10" s="52" t="s">
        <v>15</v>
      </c>
      <c r="Q10" s="52" t="s">
        <v>16</v>
      </c>
      <c r="R10" s="29"/>
      <c r="S10" s="30" t="s">
        <v>8</v>
      </c>
      <c r="T10" s="52" t="s">
        <v>9</v>
      </c>
      <c r="U10" s="52" t="s">
        <v>10</v>
      </c>
      <c r="V10" s="52" t="s">
        <v>11</v>
      </c>
      <c r="W10" s="52" t="s">
        <v>12</v>
      </c>
      <c r="X10" s="52" t="s">
        <v>15</v>
      </c>
      <c r="Y10" s="52" t="s">
        <v>16</v>
      </c>
      <c r="Z10" s="29" t="s">
        <v>17</v>
      </c>
    </row>
    <row r="11" customHeight="1" spans="1:26">
      <c r="A11" s="35"/>
      <c r="B11" s="36"/>
      <c r="C11" s="36"/>
      <c r="D11" s="36"/>
      <c r="E11" s="36"/>
      <c r="F11" s="36"/>
      <c r="G11" s="36"/>
      <c r="H11" s="33"/>
      <c r="I11" s="45"/>
      <c r="K11" s="50" t="s">
        <v>11</v>
      </c>
      <c r="L11" s="32">
        <f t="shared" ref="L11:Q11" si="0">L5+L6</f>
        <v>3</v>
      </c>
      <c r="M11" s="32">
        <f t="shared" si="0"/>
        <v>0</v>
      </c>
      <c r="N11" s="32">
        <f t="shared" si="0"/>
        <v>1</v>
      </c>
      <c r="O11" s="32">
        <f t="shared" si="0"/>
        <v>-1</v>
      </c>
      <c r="P11" s="32">
        <f t="shared" si="0"/>
        <v>0</v>
      </c>
      <c r="Q11" s="32">
        <f t="shared" si="0"/>
        <v>12</v>
      </c>
      <c r="R11" s="33"/>
      <c r="S11" s="53" t="s">
        <v>9</v>
      </c>
      <c r="T11" s="36">
        <v>2</v>
      </c>
      <c r="U11" s="36">
        <v>-3</v>
      </c>
      <c r="V11" s="36">
        <v>1</v>
      </c>
      <c r="W11" s="36">
        <v>0</v>
      </c>
      <c r="X11" s="36">
        <v>0</v>
      </c>
      <c r="Y11" s="36">
        <v>5</v>
      </c>
      <c r="Z11" s="36">
        <v>5</v>
      </c>
    </row>
    <row r="12" customHeight="1" spans="1:26">
      <c r="A12" s="30"/>
      <c r="B12" s="32"/>
      <c r="C12" s="32"/>
      <c r="D12" s="32"/>
      <c r="E12" s="32"/>
      <c r="F12" s="32"/>
      <c r="G12" s="32"/>
      <c r="H12" s="33"/>
      <c r="I12" s="45"/>
      <c r="K12" s="53" t="s">
        <v>10</v>
      </c>
      <c r="L12" s="36">
        <v>1</v>
      </c>
      <c r="M12" s="36">
        <v>3</v>
      </c>
      <c r="N12" s="36">
        <v>0</v>
      </c>
      <c r="O12" s="36">
        <v>-1</v>
      </c>
      <c r="P12" s="36">
        <v>0</v>
      </c>
      <c r="Q12" s="36">
        <v>7</v>
      </c>
      <c r="R12" s="33"/>
      <c r="S12" s="50" t="s">
        <v>12</v>
      </c>
      <c r="T12" s="32">
        <f t="shared" ref="T12:Y12" si="1">L6*2-L5</f>
        <v>0</v>
      </c>
      <c r="U12" s="32">
        <f t="shared" si="1"/>
        <v>9</v>
      </c>
      <c r="V12" s="32">
        <f t="shared" si="1"/>
        <v>-1</v>
      </c>
      <c r="W12" s="32">
        <f t="shared" si="1"/>
        <v>-2</v>
      </c>
      <c r="X12" s="32">
        <f t="shared" si="1"/>
        <v>0</v>
      </c>
      <c r="Y12" s="32">
        <f t="shared" si="1"/>
        <v>9</v>
      </c>
      <c r="Z12" s="32">
        <v>-9</v>
      </c>
    </row>
    <row r="13" customHeight="1" spans="1:26">
      <c r="A13" s="30"/>
      <c r="B13" s="32"/>
      <c r="C13" s="32"/>
      <c r="D13" s="32"/>
      <c r="E13" s="32"/>
      <c r="F13" s="32"/>
      <c r="G13" s="32"/>
      <c r="H13" s="31"/>
      <c r="I13" s="45"/>
      <c r="K13" s="50" t="s">
        <v>18</v>
      </c>
      <c r="L13" s="32">
        <f t="shared" ref="L13:Q13" si="2">L7-2*L6</f>
        <v>0</v>
      </c>
      <c r="M13" s="32">
        <f t="shared" si="2"/>
        <v>0</v>
      </c>
      <c r="N13" s="32">
        <f t="shared" si="2"/>
        <v>0</v>
      </c>
      <c r="O13" s="32">
        <f t="shared" si="2"/>
        <v>2</v>
      </c>
      <c r="P13" s="32">
        <f t="shared" si="2"/>
        <v>1</v>
      </c>
      <c r="Q13" s="32">
        <f t="shared" si="2"/>
        <v>-14</v>
      </c>
      <c r="R13" s="33"/>
      <c r="S13" s="50" t="s">
        <v>18</v>
      </c>
      <c r="T13" s="32">
        <f t="shared" ref="T13:Y13" si="3">L7-L5</f>
        <v>0</v>
      </c>
      <c r="U13" s="32">
        <f t="shared" si="3"/>
        <v>9</v>
      </c>
      <c r="V13" s="32">
        <f t="shared" si="3"/>
        <v>-1</v>
      </c>
      <c r="W13" s="32">
        <f t="shared" si="3"/>
        <v>0</v>
      </c>
      <c r="X13" s="32">
        <f t="shared" si="3"/>
        <v>1</v>
      </c>
      <c r="Y13" s="32">
        <f t="shared" si="3"/>
        <v>-5</v>
      </c>
      <c r="Z13" s="32"/>
    </row>
    <row r="14" customHeight="1" spans="1:18">
      <c r="A14" s="29"/>
      <c r="B14" s="29"/>
      <c r="C14" s="29"/>
      <c r="D14" s="29"/>
      <c r="E14" s="29"/>
      <c r="F14" s="29"/>
      <c r="G14" s="29"/>
      <c r="K14" s="29"/>
      <c r="L14" s="29"/>
      <c r="M14" s="29"/>
      <c r="N14" s="29"/>
      <c r="O14" s="29"/>
      <c r="P14" s="29"/>
      <c r="Q14" s="29"/>
      <c r="R14" s="29"/>
    </row>
    <row r="15" customHeight="1" spans="1:26">
      <c r="A15" s="29"/>
      <c r="B15" s="29"/>
      <c r="C15" s="29"/>
      <c r="D15" s="29"/>
      <c r="E15" s="29"/>
      <c r="F15" s="29"/>
      <c r="G15" s="29"/>
      <c r="H15" s="29"/>
      <c r="I15" s="29"/>
      <c r="K15" s="37" t="s">
        <v>24</v>
      </c>
      <c r="L15" s="38">
        <v>0</v>
      </c>
      <c r="M15" s="39">
        <v>44745</v>
      </c>
      <c r="N15" s="38">
        <v>12</v>
      </c>
      <c r="O15" s="38">
        <v>0</v>
      </c>
      <c r="P15" s="38"/>
      <c r="Q15" s="38"/>
      <c r="R15" s="29"/>
      <c r="S15" s="30" t="s">
        <v>8</v>
      </c>
      <c r="T15" s="52" t="s">
        <v>9</v>
      </c>
      <c r="U15" s="52" t="s">
        <v>10</v>
      </c>
      <c r="V15" s="52" t="s">
        <v>11</v>
      </c>
      <c r="W15" s="52" t="s">
        <v>12</v>
      </c>
      <c r="X15" s="52" t="s">
        <v>15</v>
      </c>
      <c r="Y15" s="52" t="s">
        <v>16</v>
      </c>
      <c r="Z15" s="29" t="s">
        <v>17</v>
      </c>
    </row>
    <row r="16" customHeight="1" spans="1:26">
      <c r="A16" s="30"/>
      <c r="B16" s="30"/>
      <c r="C16" s="30"/>
      <c r="D16" s="30"/>
      <c r="E16" s="30"/>
      <c r="F16" s="30"/>
      <c r="G16" s="30"/>
      <c r="H16" s="31"/>
      <c r="I16" s="45"/>
      <c r="K16" s="37" t="s">
        <v>47</v>
      </c>
      <c r="L16" s="38"/>
      <c r="M16" s="38"/>
      <c r="N16" s="38"/>
      <c r="O16" s="38"/>
      <c r="P16" s="38"/>
      <c r="Q16" s="38"/>
      <c r="R16" s="29"/>
      <c r="S16" s="53" t="s">
        <v>11</v>
      </c>
      <c r="T16" s="36">
        <v>2</v>
      </c>
      <c r="U16" s="36">
        <v>-3</v>
      </c>
      <c r="V16" s="36">
        <v>1</v>
      </c>
      <c r="W16" s="36">
        <v>0</v>
      </c>
      <c r="X16" s="36">
        <v>0</v>
      </c>
      <c r="Y16" s="36">
        <v>5</v>
      </c>
      <c r="Z16" s="36" t="s">
        <v>44</v>
      </c>
    </row>
    <row r="17" customHeight="1" spans="1:26">
      <c r="A17" s="30"/>
      <c r="B17" s="32"/>
      <c r="C17" s="32"/>
      <c r="D17" s="32"/>
      <c r="E17" s="32"/>
      <c r="F17" s="32"/>
      <c r="G17" s="32"/>
      <c r="H17" s="33"/>
      <c r="I17" s="45"/>
      <c r="K17" s="55"/>
      <c r="L17" s="55"/>
      <c r="M17" s="55"/>
      <c r="N17" s="55"/>
      <c r="O17" s="55"/>
      <c r="P17" s="55"/>
      <c r="Q17" s="55"/>
      <c r="R17" s="29"/>
      <c r="S17" s="50" t="s">
        <v>12</v>
      </c>
      <c r="T17" s="32">
        <f t="shared" ref="T17:Y17" si="4">T12+T11</f>
        <v>2</v>
      </c>
      <c r="U17" s="32">
        <f t="shared" si="4"/>
        <v>6</v>
      </c>
      <c r="V17" s="32">
        <f t="shared" si="4"/>
        <v>0</v>
      </c>
      <c r="W17" s="32">
        <f t="shared" si="4"/>
        <v>-2</v>
      </c>
      <c r="X17" s="32">
        <f t="shared" si="4"/>
        <v>0</v>
      </c>
      <c r="Y17" s="32">
        <f t="shared" si="4"/>
        <v>14</v>
      </c>
      <c r="Z17" s="32"/>
    </row>
    <row r="18" customHeight="1" spans="1:26">
      <c r="A18" s="35"/>
      <c r="B18" s="36"/>
      <c r="C18" s="36"/>
      <c r="D18" s="36"/>
      <c r="E18" s="36"/>
      <c r="F18" s="36"/>
      <c r="G18" s="36"/>
      <c r="H18" s="36"/>
      <c r="I18" s="45"/>
      <c r="J18" s="29"/>
      <c r="K18" s="37"/>
      <c r="L18" s="29"/>
      <c r="M18" s="29"/>
      <c r="N18" s="29"/>
      <c r="O18" s="29"/>
      <c r="P18" s="29"/>
      <c r="Q18" s="29"/>
      <c r="S18" s="50" t="s">
        <v>18</v>
      </c>
      <c r="T18" s="32">
        <f t="shared" ref="T18:Y18" si="5">T13+T11</f>
        <v>2</v>
      </c>
      <c r="U18" s="32">
        <f t="shared" si="5"/>
        <v>6</v>
      </c>
      <c r="V18" s="32">
        <f t="shared" si="5"/>
        <v>0</v>
      </c>
      <c r="W18" s="32">
        <f t="shared" si="5"/>
        <v>0</v>
      </c>
      <c r="X18" s="32">
        <f t="shared" si="5"/>
        <v>1</v>
      </c>
      <c r="Y18" s="32">
        <f t="shared" si="5"/>
        <v>0</v>
      </c>
      <c r="Z18" s="32">
        <f>R12-R10</f>
        <v>0</v>
      </c>
    </row>
    <row r="19" customHeight="1" spans="1:17">
      <c r="A19" s="30"/>
      <c r="B19" s="32"/>
      <c r="C19" s="32"/>
      <c r="D19" s="32"/>
      <c r="E19" s="32"/>
      <c r="F19" s="32"/>
      <c r="G19" s="32"/>
      <c r="H19" s="32"/>
      <c r="I19" s="42"/>
      <c r="J19" s="29"/>
      <c r="K19" s="29"/>
      <c r="L19" s="29"/>
      <c r="M19" s="29"/>
      <c r="N19" s="29"/>
      <c r="O19" s="29"/>
      <c r="P19" s="29"/>
      <c r="Q19" s="29"/>
    </row>
    <row r="20" customHeight="1" spans="1:17">
      <c r="A20" s="29"/>
      <c r="B20" s="29"/>
      <c r="C20" s="29"/>
      <c r="D20" s="29"/>
      <c r="E20" s="29"/>
      <c r="F20" s="29"/>
      <c r="G20" s="29"/>
      <c r="J20" s="29"/>
      <c r="K20" s="29"/>
      <c r="L20" s="29"/>
      <c r="M20" s="29"/>
      <c r="N20" s="29"/>
      <c r="O20" s="29"/>
      <c r="P20" s="29"/>
      <c r="Q20" s="29"/>
    </row>
    <row r="21" customHeight="1" spans="1:17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</row>
    <row r="22" customHeight="1" spans="1:17">
      <c r="A22" s="30"/>
      <c r="B22" s="30"/>
      <c r="C22" s="30"/>
      <c r="D22" s="30"/>
      <c r="E22" s="30"/>
      <c r="F22" s="30"/>
      <c r="G22" s="30"/>
      <c r="H22" s="31"/>
      <c r="I22" s="45"/>
      <c r="J22" s="55"/>
      <c r="K22" s="29"/>
      <c r="L22" s="29"/>
      <c r="M22" s="29"/>
      <c r="N22" s="29"/>
      <c r="O22" s="29"/>
      <c r="P22" s="29"/>
      <c r="Q22" s="29"/>
    </row>
    <row r="23" customHeight="1" spans="1:17">
      <c r="A23" s="30"/>
      <c r="B23" s="32"/>
      <c r="C23" s="32"/>
      <c r="D23" s="32"/>
      <c r="E23" s="32"/>
      <c r="F23" s="32"/>
      <c r="G23" s="32"/>
      <c r="H23" s="33"/>
      <c r="I23" s="45"/>
      <c r="J23" s="29"/>
      <c r="K23" s="29"/>
      <c r="L23" s="29"/>
      <c r="M23" s="29"/>
      <c r="N23" s="29"/>
      <c r="O23" s="29"/>
      <c r="P23" s="29"/>
      <c r="Q23" s="29"/>
    </row>
    <row r="24" customHeight="1" spans="1:17">
      <c r="A24" s="30"/>
      <c r="B24" s="32"/>
      <c r="C24" s="32"/>
      <c r="D24" s="32"/>
      <c r="E24" s="32"/>
      <c r="F24" s="32"/>
      <c r="G24" s="32"/>
      <c r="H24" s="33"/>
      <c r="I24" s="45"/>
      <c r="J24" s="29"/>
      <c r="K24" s="29"/>
      <c r="L24" s="29"/>
      <c r="M24" s="29"/>
      <c r="N24" s="29"/>
      <c r="O24" s="29"/>
      <c r="P24" s="29"/>
      <c r="Q24" s="29"/>
    </row>
    <row r="25" customHeight="1" spans="1:17">
      <c r="A25" s="30"/>
      <c r="B25" s="32"/>
      <c r="C25" s="32"/>
      <c r="D25" s="32"/>
      <c r="E25" s="32"/>
      <c r="F25" s="32"/>
      <c r="G25" s="32"/>
      <c r="H25" s="33"/>
      <c r="I25" s="45"/>
      <c r="J25" s="29"/>
      <c r="K25" s="29"/>
      <c r="L25" s="29"/>
      <c r="M25" s="29"/>
      <c r="N25" s="29"/>
      <c r="O25" s="29"/>
      <c r="P25" s="29"/>
      <c r="Q25" s="29"/>
    </row>
    <row r="26" customHeight="1" spans="1:17">
      <c r="A26" s="35"/>
      <c r="B26" s="36"/>
      <c r="C26" s="36"/>
      <c r="D26" s="36"/>
      <c r="E26" s="36"/>
      <c r="F26" s="36"/>
      <c r="G26" s="36"/>
      <c r="H26" s="36"/>
      <c r="I26" s="45"/>
      <c r="J26" s="29"/>
      <c r="K26" s="55"/>
      <c r="L26" s="55"/>
      <c r="M26" s="55"/>
      <c r="N26" s="55"/>
      <c r="O26" s="55"/>
      <c r="P26" s="55"/>
      <c r="Q26" s="29"/>
    </row>
    <row r="27" customHeight="1" spans="1:17">
      <c r="A27" s="30"/>
      <c r="B27" s="32"/>
      <c r="C27" s="32"/>
      <c r="D27" s="32"/>
      <c r="E27" s="32"/>
      <c r="F27" s="32"/>
      <c r="G27" s="32"/>
      <c r="H27" s="31"/>
      <c r="I27" s="45"/>
      <c r="J27" s="29"/>
      <c r="K27" s="29"/>
      <c r="L27" s="29"/>
      <c r="M27" s="29"/>
      <c r="N27" s="29"/>
      <c r="O27" s="29"/>
      <c r="P27" s="29"/>
      <c r="Q27" s="29"/>
    </row>
    <row r="28" customHeight="1" spans="1:17">
      <c r="A28" s="29"/>
      <c r="B28" s="29"/>
      <c r="C28" s="29"/>
      <c r="D28" s="29"/>
      <c r="E28" s="29"/>
      <c r="F28" s="29"/>
      <c r="G28" s="29"/>
      <c r="H28" s="49"/>
      <c r="I28" s="56"/>
      <c r="J28" s="29"/>
      <c r="K28" s="29"/>
      <c r="L28" s="29"/>
      <c r="M28" s="29"/>
      <c r="N28" s="29"/>
      <c r="O28" s="29"/>
      <c r="P28" s="29"/>
      <c r="Q28" s="29"/>
    </row>
    <row r="29" customHeight="1" spans="1:17">
      <c r="A29" s="29"/>
      <c r="B29" s="29"/>
      <c r="C29" s="29"/>
      <c r="D29" s="29"/>
      <c r="E29" s="29"/>
      <c r="F29" s="29"/>
      <c r="G29" s="29"/>
      <c r="H29" s="29"/>
      <c r="I29" s="56"/>
      <c r="J29" s="29"/>
      <c r="K29" s="29"/>
      <c r="L29" s="29"/>
      <c r="M29" s="29"/>
      <c r="N29" s="29"/>
      <c r="O29" s="29"/>
      <c r="P29" s="29"/>
      <c r="Q29" s="29"/>
    </row>
    <row r="30" customHeight="1" spans="1:17">
      <c r="A30" s="30"/>
      <c r="B30" s="30"/>
      <c r="C30" s="30"/>
      <c r="D30" s="30"/>
      <c r="E30" s="30"/>
      <c r="F30" s="30"/>
      <c r="G30" s="30"/>
      <c r="H30" s="31"/>
      <c r="I30" s="45"/>
      <c r="J30" s="55"/>
      <c r="K30" s="29"/>
      <c r="L30" s="29"/>
      <c r="M30" s="29"/>
      <c r="N30" s="29"/>
      <c r="O30" s="29"/>
      <c r="P30" s="29"/>
      <c r="Q30" s="29"/>
    </row>
    <row r="31" customHeight="1" spans="1:17">
      <c r="A31" s="30"/>
      <c r="B31" s="32"/>
      <c r="C31" s="32"/>
      <c r="D31" s="32"/>
      <c r="E31" s="32"/>
      <c r="F31" s="32"/>
      <c r="G31" s="32"/>
      <c r="H31" s="31"/>
      <c r="I31" s="45"/>
      <c r="J31" s="29"/>
      <c r="K31" s="29"/>
      <c r="L31" s="29"/>
      <c r="M31" s="29"/>
      <c r="N31" s="29"/>
      <c r="O31" s="29"/>
      <c r="P31" s="29"/>
      <c r="Q31" s="29"/>
    </row>
    <row r="32" customHeight="1" spans="1:17">
      <c r="A32" s="35"/>
      <c r="B32" s="36"/>
      <c r="C32" s="36"/>
      <c r="D32" s="36"/>
      <c r="E32" s="36"/>
      <c r="F32" s="36"/>
      <c r="G32" s="36"/>
      <c r="H32" s="31"/>
      <c r="I32" s="45"/>
      <c r="J32" s="29"/>
      <c r="K32" s="29"/>
      <c r="L32" s="29"/>
      <c r="M32" s="29"/>
      <c r="N32" s="29"/>
      <c r="O32" s="29"/>
      <c r="P32" s="29"/>
      <c r="Q32" s="29"/>
    </row>
    <row r="33" customHeight="1" spans="1:17">
      <c r="A33" s="30"/>
      <c r="B33" s="32"/>
      <c r="C33" s="32"/>
      <c r="D33" s="32"/>
      <c r="E33" s="32"/>
      <c r="F33" s="32"/>
      <c r="G33" s="32"/>
      <c r="H33" s="31"/>
      <c r="I33" s="45"/>
      <c r="J33" s="29"/>
      <c r="K33" s="29"/>
      <c r="L33" s="29"/>
      <c r="M33" s="29"/>
      <c r="N33" s="29"/>
      <c r="O33" s="29"/>
      <c r="P33" s="29"/>
      <c r="Q33" s="29"/>
    </row>
    <row r="34" customHeight="1" spans="1:10">
      <c r="A34" s="30"/>
      <c r="B34" s="32"/>
      <c r="C34" s="32"/>
      <c r="D34" s="32"/>
      <c r="E34" s="32"/>
      <c r="F34" s="32"/>
      <c r="G34" s="32"/>
      <c r="H34" s="31"/>
      <c r="I34" s="45"/>
      <c r="J34" s="29"/>
    </row>
    <row r="35" customHeight="1" spans="1:10">
      <c r="A35" s="30"/>
      <c r="B35" s="32"/>
      <c r="C35" s="32"/>
      <c r="D35" s="32"/>
      <c r="E35" s="32"/>
      <c r="F35" s="32"/>
      <c r="G35" s="32"/>
      <c r="H35" s="31"/>
      <c r="I35" s="45"/>
      <c r="J35" s="29"/>
    </row>
    <row r="36" customHeight="1" spans="1:10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customHeight="1" spans="1:10">
      <c r="A37" s="37"/>
      <c r="B37" s="38"/>
      <c r="C37" s="38"/>
      <c r="D37" s="38"/>
      <c r="E37" s="38"/>
      <c r="F37" s="38"/>
      <c r="G37" s="40"/>
      <c r="H37" s="29"/>
      <c r="I37" s="29"/>
      <c r="J37" s="29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G16"/>
  <sheetViews>
    <sheetView zoomScale="94" zoomScaleNormal="94" workbookViewId="0">
      <selection activeCell="D18" sqref="D18"/>
    </sheetView>
  </sheetViews>
  <sheetFormatPr defaultColWidth="12.6296296296296" defaultRowHeight="15.75" customHeight="1" outlineLevelCol="6"/>
  <sheetData>
    <row r="2" customHeight="1" spans="1:5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</row>
    <row r="5" customHeight="1" spans="1:7">
      <c r="A5" s="41" t="s">
        <v>53</v>
      </c>
      <c r="B5" s="41" t="s">
        <v>54</v>
      </c>
      <c r="C5" s="41" t="s">
        <v>55</v>
      </c>
      <c r="D5" s="41" t="s">
        <v>56</v>
      </c>
      <c r="E5" s="41" t="s">
        <v>57</v>
      </c>
      <c r="F5" s="41" t="s">
        <v>58</v>
      </c>
      <c r="G5" s="41" t="s">
        <v>59</v>
      </c>
    </row>
    <row r="6" customHeight="1" spans="1:7">
      <c r="A6" s="41" t="s">
        <v>60</v>
      </c>
      <c r="B6" s="41" t="s">
        <v>60</v>
      </c>
      <c r="C6" s="41" t="s">
        <v>60</v>
      </c>
      <c r="D6" s="41" t="s">
        <v>60</v>
      </c>
      <c r="E6" s="41" t="s">
        <v>60</v>
      </c>
      <c r="F6" s="41" t="s">
        <v>60</v>
      </c>
      <c r="G6" s="41" t="s">
        <v>60</v>
      </c>
    </row>
    <row r="7" customHeight="1" spans="1:7">
      <c r="A7" s="41" t="s">
        <v>60</v>
      </c>
      <c r="B7" s="41" t="s">
        <v>60</v>
      </c>
      <c r="C7" s="41" t="s">
        <v>60</v>
      </c>
      <c r="D7" s="41" t="s">
        <v>60</v>
      </c>
      <c r="E7" s="41" t="s">
        <v>60</v>
      </c>
      <c r="F7" s="41" t="s">
        <v>60</v>
      </c>
      <c r="G7" s="41" t="s">
        <v>60</v>
      </c>
    </row>
    <row r="8" customHeight="1" spans="1:7">
      <c r="A8" s="41" t="s">
        <v>60</v>
      </c>
      <c r="B8" s="41" t="s">
        <v>60</v>
      </c>
      <c r="C8" s="41" t="s">
        <v>60</v>
      </c>
      <c r="D8" s="41" t="s">
        <v>60</v>
      </c>
      <c r="E8" s="41" t="s">
        <v>60</v>
      </c>
      <c r="F8" s="41" t="s">
        <v>60</v>
      </c>
      <c r="G8" s="41" t="s">
        <v>60</v>
      </c>
    </row>
    <row r="9" customHeight="1" spans="1:7">
      <c r="A9" s="44"/>
      <c r="B9" s="41">
        <v>1</v>
      </c>
      <c r="C9" s="41">
        <v>1</v>
      </c>
      <c r="D9" s="41">
        <v>1</v>
      </c>
      <c r="E9" s="41">
        <v>0</v>
      </c>
      <c r="F9" s="41">
        <v>0</v>
      </c>
      <c r="G9" s="41">
        <v>0</v>
      </c>
    </row>
    <row r="11" customHeight="1" spans="2:2">
      <c r="B11" s="3" t="s">
        <v>61</v>
      </c>
    </row>
    <row r="12" customHeight="1" spans="1:7">
      <c r="A12" s="41" t="s">
        <v>53</v>
      </c>
      <c r="B12" s="41" t="s">
        <v>54</v>
      </c>
      <c r="C12" s="41" t="s">
        <v>55</v>
      </c>
      <c r="D12" s="41" t="s">
        <v>56</v>
      </c>
      <c r="E12" s="41" t="s">
        <v>57</v>
      </c>
      <c r="F12" s="41" t="s">
        <v>58</v>
      </c>
      <c r="G12" s="41" t="s">
        <v>59</v>
      </c>
    </row>
    <row r="13" customHeight="1" spans="1:7">
      <c r="A13" s="41" t="s">
        <v>55</v>
      </c>
      <c r="B13" s="41">
        <v>-1</v>
      </c>
      <c r="C13" s="41">
        <v>1</v>
      </c>
      <c r="D13" s="41">
        <v>2</v>
      </c>
      <c r="E13" s="41">
        <v>0</v>
      </c>
      <c r="F13" s="41">
        <v>0</v>
      </c>
      <c r="G13" s="41">
        <v>2</v>
      </c>
    </row>
    <row r="14" customHeight="1" spans="1:7">
      <c r="A14" s="41" t="s">
        <v>58</v>
      </c>
      <c r="B14" s="41">
        <v>1</v>
      </c>
      <c r="C14" s="41">
        <v>0</v>
      </c>
      <c r="D14" s="41">
        <v>-1</v>
      </c>
      <c r="E14" s="41">
        <v>0</v>
      </c>
      <c r="F14" s="41">
        <v>1</v>
      </c>
      <c r="G14" s="41">
        <v>3</v>
      </c>
    </row>
    <row r="15" customHeight="1" spans="1:7">
      <c r="A15" s="41" t="s">
        <v>57</v>
      </c>
      <c r="B15" s="41">
        <v>2</v>
      </c>
      <c r="C15" s="41">
        <v>0</v>
      </c>
      <c r="D15" s="41">
        <v>1</v>
      </c>
      <c r="E15" s="41">
        <v>1</v>
      </c>
      <c r="F15" s="41">
        <v>0</v>
      </c>
      <c r="G15" s="41">
        <v>4</v>
      </c>
    </row>
    <row r="16" customHeight="1" spans="1:7">
      <c r="A16" s="44"/>
      <c r="B16" s="59">
        <f t="shared" ref="B16:F16" si="0">B9-B13</f>
        <v>2</v>
      </c>
      <c r="C16" s="59">
        <f t="shared" si="0"/>
        <v>0</v>
      </c>
      <c r="D16" s="59">
        <f>D9-D13</f>
        <v>-1</v>
      </c>
      <c r="E16" s="59">
        <f t="shared" si="0"/>
        <v>0</v>
      </c>
      <c r="F16" s="59">
        <f t="shared" si="0"/>
        <v>0</v>
      </c>
      <c r="G16" s="60">
        <v>-2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3"/>
  <sheetViews>
    <sheetView tabSelected="1" workbookViewId="0">
      <selection activeCell="A1" sqref="A1"/>
    </sheetView>
  </sheetViews>
  <sheetFormatPr defaultColWidth="12.6296296296296" defaultRowHeight="15.75" customHeight="1"/>
  <cols>
    <col min="1" max="8" width="5.87962962962963" customWidth="1"/>
    <col min="9" max="9" width="8.87962962962963" customWidth="1"/>
    <col min="10" max="19" width="5.87962962962963" customWidth="1"/>
  </cols>
  <sheetData>
    <row r="1" customHeight="1" spans="1:19">
      <c r="A1" s="28" t="s">
        <v>62</v>
      </c>
      <c r="B1" s="28" t="s">
        <v>63</v>
      </c>
      <c r="C1" s="28"/>
      <c r="D1" s="28" t="s">
        <v>64</v>
      </c>
      <c r="E1" s="28"/>
      <c r="F1" s="28" t="s">
        <v>65</v>
      </c>
      <c r="G1" s="28"/>
      <c r="H1" s="28"/>
      <c r="I1" s="28"/>
      <c r="K1" s="28"/>
      <c r="L1" s="28"/>
      <c r="N1" s="28"/>
      <c r="O1" s="28"/>
      <c r="P1" s="28"/>
      <c r="R1" s="28"/>
      <c r="S1" s="28"/>
    </row>
    <row r="2" customHeight="1" spans="1:12">
      <c r="A2" s="29"/>
      <c r="B2" s="29"/>
      <c r="C2" s="29"/>
      <c r="D2" s="29"/>
      <c r="E2" s="29"/>
      <c r="F2" s="29"/>
      <c r="G2" s="29"/>
      <c r="H2" s="3" t="s">
        <v>6</v>
      </c>
      <c r="I2" s="4" t="s">
        <v>7</v>
      </c>
      <c r="J2" s="29"/>
      <c r="K2" s="29"/>
      <c r="L2" s="29"/>
    </row>
    <row r="3" customHeight="1" spans="1:19">
      <c r="A3" s="29"/>
      <c r="B3" s="29">
        <v>1</v>
      </c>
      <c r="C3" s="29">
        <v>0</v>
      </c>
      <c r="D3" s="29">
        <v>1</v>
      </c>
      <c r="E3" s="29">
        <v>-1</v>
      </c>
      <c r="F3" s="29"/>
      <c r="G3" s="29"/>
      <c r="H3" s="29" t="e">
        <f t="array" ref="H3">INDEX(B4:F4,MATCH(MIN(B9:F9),B9:F9,0))</f>
        <v>#N/A</v>
      </c>
      <c r="I3" s="29" t="e">
        <f t="array" ref="I3">INDEX(A5:A8,MATCH(_xlfn.MINIFS(H5:H8,H5:H8,"&gt;0"),H5:H8,0))</f>
        <v>#N/A</v>
      </c>
      <c r="J3" s="29"/>
      <c r="K3" s="29"/>
      <c r="L3" s="29"/>
      <c r="M3" s="29"/>
      <c r="N3" s="29"/>
      <c r="O3" s="29"/>
      <c r="P3" s="29"/>
      <c r="Q3" s="29"/>
      <c r="R3" s="57"/>
      <c r="S3" s="29"/>
    </row>
    <row r="4" customHeight="1" spans="1:20">
      <c r="A4" s="30" t="s">
        <v>8</v>
      </c>
      <c r="B4" s="30" t="s">
        <v>54</v>
      </c>
      <c r="C4" s="30" t="s">
        <v>55</v>
      </c>
      <c r="D4" s="30" t="s">
        <v>56</v>
      </c>
      <c r="E4" s="30" t="s">
        <v>57</v>
      </c>
      <c r="F4" s="30" t="s">
        <v>15</v>
      </c>
      <c r="G4" s="30" t="s">
        <v>16</v>
      </c>
      <c r="H4" s="31" t="s">
        <v>17</v>
      </c>
      <c r="I4" s="42"/>
      <c r="K4" s="30"/>
      <c r="L4" s="30"/>
      <c r="M4" s="30"/>
      <c r="N4" s="30"/>
      <c r="O4" s="30"/>
      <c r="P4" s="30"/>
      <c r="Q4" s="30"/>
      <c r="R4" s="52"/>
      <c r="S4" s="52"/>
      <c r="T4" s="29"/>
    </row>
    <row r="5" customHeight="1" spans="1:20">
      <c r="A5" s="30" t="s">
        <v>54</v>
      </c>
      <c r="B5" s="32">
        <v>1</v>
      </c>
      <c r="C5" s="32">
        <v>0</v>
      </c>
      <c r="D5" s="32">
        <v>-1</v>
      </c>
      <c r="E5" s="32">
        <v>0</v>
      </c>
      <c r="F5" s="32">
        <v>0</v>
      </c>
      <c r="G5" s="32">
        <v>1</v>
      </c>
      <c r="H5" s="33" t="e">
        <f>G5/HLOOKUP($H$3,$B$4:$F$9,ROWS($C$4:$C5),0)</f>
        <v>#N/A</v>
      </c>
      <c r="I5" s="42"/>
      <c r="K5" s="30"/>
      <c r="L5" s="32"/>
      <c r="M5" s="32"/>
      <c r="N5" s="32"/>
      <c r="O5" s="32"/>
      <c r="P5" s="32"/>
      <c r="Q5" s="32"/>
      <c r="R5" s="33"/>
      <c r="S5" s="51"/>
      <c r="T5" s="58"/>
    </row>
    <row r="6" customHeight="1" spans="1:20">
      <c r="A6" s="30" t="s">
        <v>57</v>
      </c>
      <c r="B6" s="32">
        <v>0</v>
      </c>
      <c r="C6" s="32">
        <v>0</v>
      </c>
      <c r="D6" s="32">
        <v>1</v>
      </c>
      <c r="E6" s="32">
        <v>1</v>
      </c>
      <c r="F6" s="32">
        <v>0</v>
      </c>
      <c r="G6" s="32">
        <v>6</v>
      </c>
      <c r="H6" s="33" t="e">
        <f>G6/HLOOKUP($H$3,$B$4:$F$9,ROWS($C$4:$C6),0)</f>
        <v>#N/A</v>
      </c>
      <c r="I6" s="42"/>
      <c r="K6" s="30"/>
      <c r="L6" s="32"/>
      <c r="M6" s="32"/>
      <c r="N6" s="32"/>
      <c r="O6" s="32"/>
      <c r="P6" s="32"/>
      <c r="Q6" s="32"/>
      <c r="R6" s="51"/>
      <c r="S6" s="51"/>
      <c r="T6" s="58"/>
    </row>
    <row r="7" customHeight="1" spans="1:20">
      <c r="A7" s="30" t="s">
        <v>55</v>
      </c>
      <c r="B7" s="32">
        <v>0</v>
      </c>
      <c r="C7" s="32">
        <v>1</v>
      </c>
      <c r="D7" s="32">
        <v>-2</v>
      </c>
      <c r="E7" s="32">
        <v>0</v>
      </c>
      <c r="F7" s="32">
        <v>0</v>
      </c>
      <c r="G7" s="32">
        <v>3</v>
      </c>
      <c r="H7" s="33" t="e">
        <f>G7/HLOOKUP($H$3,$B$4:$F$9,ROWS($C$4:$C7),0)</f>
        <v>#N/A</v>
      </c>
      <c r="I7" s="42"/>
      <c r="K7" s="30"/>
      <c r="L7" s="32"/>
      <c r="M7" s="32"/>
      <c r="N7" s="32"/>
      <c r="O7" s="32"/>
      <c r="P7" s="32"/>
      <c r="Q7" s="32"/>
      <c r="R7" s="51"/>
      <c r="S7" s="51"/>
      <c r="T7" s="58"/>
    </row>
    <row r="8" customHeight="1" spans="1:20">
      <c r="A8" s="30" t="s">
        <v>18</v>
      </c>
      <c r="B8" s="32">
        <f t="shared" ref="B8:E8" si="0">B3-B5+B6</f>
        <v>0</v>
      </c>
      <c r="C8" s="32">
        <f t="shared" si="0"/>
        <v>0</v>
      </c>
      <c r="D8" s="48">
        <f t="shared" si="0"/>
        <v>3</v>
      </c>
      <c r="E8" s="32">
        <f t="shared" si="0"/>
        <v>0</v>
      </c>
      <c r="F8" s="32">
        <v>1</v>
      </c>
      <c r="G8" s="32">
        <f>G3-G5+G6</f>
        <v>5</v>
      </c>
      <c r="H8" s="33"/>
      <c r="I8" s="42"/>
      <c r="K8" s="30"/>
      <c r="L8" s="32"/>
      <c r="M8" s="32"/>
      <c r="N8" s="32"/>
      <c r="O8" s="32"/>
      <c r="P8" s="32"/>
      <c r="Q8" s="32"/>
      <c r="R8" s="51"/>
      <c r="S8" s="51"/>
      <c r="T8" s="58"/>
    </row>
    <row r="9" customHeight="1" spans="1:20">
      <c r="A9" s="30"/>
      <c r="B9" s="32"/>
      <c r="C9" s="32"/>
      <c r="D9" s="32"/>
      <c r="E9" s="32"/>
      <c r="F9" s="32"/>
      <c r="G9" s="32"/>
      <c r="H9" s="33"/>
      <c r="I9" s="42"/>
      <c r="K9" s="50"/>
      <c r="L9" s="51"/>
      <c r="M9" s="51"/>
      <c r="N9" s="51"/>
      <c r="O9" s="51"/>
      <c r="P9" s="51"/>
      <c r="Q9" s="51"/>
      <c r="R9" s="51"/>
      <c r="S9" s="51"/>
      <c r="T9" s="29"/>
    </row>
    <row r="10" customHeight="1" spans="1:20">
      <c r="A10" s="29"/>
      <c r="B10" s="29"/>
      <c r="C10" s="29"/>
      <c r="D10" s="29"/>
      <c r="E10" s="29"/>
      <c r="F10" s="29"/>
      <c r="G10" s="29"/>
      <c r="H10" s="3" t="s">
        <v>6</v>
      </c>
      <c r="I10" s="4" t="s">
        <v>7</v>
      </c>
      <c r="K10" s="29"/>
      <c r="L10" s="29"/>
      <c r="M10" s="29"/>
      <c r="N10" s="29"/>
      <c r="O10" s="29"/>
      <c r="P10" s="29"/>
      <c r="Q10" s="29"/>
      <c r="R10" s="29"/>
      <c r="S10" s="29"/>
      <c r="T10" s="29"/>
    </row>
    <row r="11" customHeight="1" spans="1:20">
      <c r="A11" s="29" t="s">
        <v>24</v>
      </c>
      <c r="B11" s="29">
        <v>1</v>
      </c>
      <c r="C11" s="29">
        <v>3</v>
      </c>
      <c r="D11" s="29">
        <v>0</v>
      </c>
      <c r="E11" s="29">
        <v>6</v>
      </c>
      <c r="F11" s="29"/>
      <c r="G11" s="29"/>
      <c r="H11" s="29"/>
      <c r="I11" s="29"/>
      <c r="K11" s="29"/>
      <c r="L11" s="29"/>
      <c r="M11" s="29"/>
      <c r="N11" s="29"/>
      <c r="O11" s="29"/>
      <c r="P11" s="29"/>
      <c r="Q11" s="29"/>
      <c r="R11" s="29"/>
      <c r="S11" s="29"/>
      <c r="T11" s="29"/>
    </row>
    <row r="12" customHeight="1" spans="1:20">
      <c r="A12" s="30"/>
      <c r="B12" s="30"/>
      <c r="C12" s="30"/>
      <c r="D12" s="30"/>
      <c r="E12" s="30"/>
      <c r="F12" s="30"/>
      <c r="G12" s="30"/>
      <c r="H12" s="31"/>
      <c r="I12" s="45"/>
      <c r="K12" s="30"/>
      <c r="L12" s="52"/>
      <c r="M12" s="52"/>
      <c r="N12" s="52"/>
      <c r="O12" s="52"/>
      <c r="P12" s="52"/>
      <c r="Q12" s="52"/>
      <c r="R12" s="52"/>
      <c r="S12" s="52"/>
      <c r="T12" s="29"/>
    </row>
    <row r="13" customHeight="1" spans="1:20">
      <c r="A13" s="35"/>
      <c r="B13" s="36"/>
      <c r="C13" s="36"/>
      <c r="D13" s="36"/>
      <c r="E13" s="36"/>
      <c r="F13" s="36"/>
      <c r="G13" s="36"/>
      <c r="H13" s="33"/>
      <c r="I13" s="45"/>
      <c r="K13" s="53"/>
      <c r="L13" s="54"/>
      <c r="M13" s="54"/>
      <c r="N13" s="54"/>
      <c r="O13" s="54"/>
      <c r="P13" s="54"/>
      <c r="Q13" s="54"/>
      <c r="R13" s="54"/>
      <c r="S13" s="54"/>
      <c r="T13" s="29"/>
    </row>
    <row r="14" customHeight="1" spans="1:20">
      <c r="A14" s="30"/>
      <c r="B14" s="32"/>
      <c r="C14" s="32"/>
      <c r="D14" s="32"/>
      <c r="E14" s="32"/>
      <c r="F14" s="32"/>
      <c r="G14" s="32"/>
      <c r="H14" s="33"/>
      <c r="I14" s="45"/>
      <c r="K14" s="50"/>
      <c r="L14" s="51"/>
      <c r="M14" s="51"/>
      <c r="N14" s="51"/>
      <c r="O14" s="51"/>
      <c r="P14" s="51"/>
      <c r="Q14" s="51"/>
      <c r="R14" s="51"/>
      <c r="S14" s="51"/>
      <c r="T14" s="29"/>
    </row>
    <row r="15" customHeight="1" spans="1:20">
      <c r="A15" s="30"/>
      <c r="B15" s="32"/>
      <c r="C15" s="32"/>
      <c r="D15" s="32"/>
      <c r="E15" s="32"/>
      <c r="F15" s="32"/>
      <c r="G15" s="32"/>
      <c r="H15" s="33"/>
      <c r="I15" s="45"/>
      <c r="K15" s="50"/>
      <c r="L15" s="51"/>
      <c r="M15" s="51"/>
      <c r="N15" s="51"/>
      <c r="O15" s="51"/>
      <c r="P15" s="51"/>
      <c r="Q15" s="51"/>
      <c r="R15" s="51"/>
      <c r="S15" s="51"/>
      <c r="T15" s="29"/>
    </row>
    <row r="16" customHeight="1" spans="1:20">
      <c r="A16" s="30"/>
      <c r="B16" s="32"/>
      <c r="C16" s="32"/>
      <c r="D16" s="32"/>
      <c r="E16" s="32"/>
      <c r="F16" s="32"/>
      <c r="G16" s="32"/>
      <c r="H16" s="33"/>
      <c r="I16" s="45"/>
      <c r="K16" s="50"/>
      <c r="L16" s="51"/>
      <c r="M16" s="51"/>
      <c r="N16" s="51"/>
      <c r="O16" s="51"/>
      <c r="P16" s="51"/>
      <c r="Q16" s="51"/>
      <c r="R16" s="51"/>
      <c r="S16" s="51"/>
      <c r="T16" s="29"/>
    </row>
    <row r="17" customHeight="1" spans="1:20">
      <c r="A17" s="30"/>
      <c r="B17" s="32"/>
      <c r="C17" s="32"/>
      <c r="D17" s="32"/>
      <c r="E17" s="32"/>
      <c r="F17" s="32"/>
      <c r="G17" s="32"/>
      <c r="H17" s="31"/>
      <c r="I17" s="45"/>
      <c r="K17" s="50"/>
      <c r="L17" s="51"/>
      <c r="M17" s="51"/>
      <c r="N17" s="51"/>
      <c r="O17" s="51"/>
      <c r="P17" s="51"/>
      <c r="Q17" s="51"/>
      <c r="R17" s="51"/>
      <c r="S17" s="51"/>
      <c r="T17" s="29"/>
    </row>
    <row r="18" customHeight="1" spans="1:20">
      <c r="A18" s="29"/>
      <c r="B18" s="29"/>
      <c r="C18" s="29"/>
      <c r="D18" s="29"/>
      <c r="E18" s="29"/>
      <c r="F18" s="29"/>
      <c r="G18" s="29"/>
      <c r="K18" s="29"/>
      <c r="L18" s="29"/>
      <c r="M18" s="29"/>
      <c r="N18" s="29"/>
      <c r="O18" s="29"/>
      <c r="P18" s="29"/>
      <c r="Q18" s="29"/>
      <c r="R18" s="29"/>
      <c r="S18" s="29"/>
      <c r="T18" s="29"/>
    </row>
    <row r="19" customHeight="1" spans="1:20">
      <c r="A19" s="29"/>
      <c r="B19" s="29"/>
      <c r="C19" s="29"/>
      <c r="D19" s="29"/>
      <c r="E19" s="29"/>
      <c r="F19" s="29"/>
      <c r="G19" s="29"/>
      <c r="H19" s="29"/>
      <c r="I19" s="29"/>
      <c r="K19" s="37"/>
      <c r="L19" s="38"/>
      <c r="M19" s="38"/>
      <c r="N19" s="38"/>
      <c r="O19" s="38"/>
      <c r="P19" s="38"/>
      <c r="Q19" s="38"/>
      <c r="R19" s="38"/>
      <c r="S19" s="40"/>
      <c r="T19" s="29"/>
    </row>
    <row r="20" customHeight="1" spans="1:20">
      <c r="A20" s="30"/>
      <c r="B20" s="30"/>
      <c r="C20" s="30"/>
      <c r="D20" s="30"/>
      <c r="E20" s="30"/>
      <c r="F20" s="30"/>
      <c r="G20" s="30"/>
      <c r="H20" s="31"/>
      <c r="I20" s="45"/>
      <c r="K20" s="55"/>
      <c r="L20" s="55"/>
      <c r="M20" s="55"/>
      <c r="N20" s="55"/>
      <c r="O20" s="55"/>
      <c r="P20" s="55"/>
      <c r="Q20" s="55"/>
      <c r="R20" s="55"/>
      <c r="S20" s="55"/>
      <c r="T20" s="29"/>
    </row>
    <row r="21" customHeight="1" spans="1:20">
      <c r="A21" s="30"/>
      <c r="B21" s="32"/>
      <c r="C21" s="32"/>
      <c r="D21" s="32"/>
      <c r="E21" s="32"/>
      <c r="F21" s="32"/>
      <c r="G21" s="32"/>
      <c r="H21" s="33"/>
      <c r="I21" s="45"/>
      <c r="K21" s="37"/>
      <c r="L21" s="29"/>
      <c r="M21" s="29"/>
      <c r="N21" s="29"/>
      <c r="O21" s="29"/>
      <c r="P21" s="29"/>
      <c r="Q21" s="29"/>
      <c r="R21" s="29"/>
      <c r="S21" s="29"/>
      <c r="T21" s="29"/>
    </row>
    <row r="22" customHeight="1" spans="1:19">
      <c r="A22" s="30"/>
      <c r="B22" s="32"/>
      <c r="C22" s="32"/>
      <c r="D22" s="32"/>
      <c r="E22" s="32"/>
      <c r="F22" s="32"/>
      <c r="G22" s="32"/>
      <c r="H22" s="33"/>
      <c r="I22" s="45"/>
      <c r="J22" s="29"/>
      <c r="K22" s="29"/>
      <c r="L22" s="29"/>
      <c r="M22" s="29"/>
      <c r="N22" s="29"/>
      <c r="O22" s="29"/>
      <c r="P22" s="29"/>
      <c r="Q22" s="29"/>
      <c r="R22" s="29"/>
      <c r="S22" s="29"/>
    </row>
    <row r="23" customHeight="1" spans="1:19">
      <c r="A23" s="35"/>
      <c r="B23" s="36"/>
      <c r="C23" s="36"/>
      <c r="D23" s="36"/>
      <c r="E23" s="36"/>
      <c r="F23" s="36"/>
      <c r="G23" s="36"/>
      <c r="H23" s="36"/>
      <c r="I23" s="45"/>
      <c r="J23" s="29"/>
      <c r="K23" s="29"/>
      <c r="L23" s="29"/>
      <c r="M23" s="29"/>
      <c r="N23" s="29"/>
      <c r="O23" s="29"/>
      <c r="P23" s="29"/>
      <c r="Q23" s="29"/>
      <c r="R23" s="29"/>
      <c r="S23" s="29"/>
    </row>
    <row r="24" customHeight="1" spans="1:19">
      <c r="A24" s="30"/>
      <c r="B24" s="32"/>
      <c r="C24" s="32"/>
      <c r="D24" s="32"/>
      <c r="E24" s="32"/>
      <c r="F24" s="32"/>
      <c r="G24" s="32"/>
      <c r="H24" s="33"/>
      <c r="I24" s="45"/>
      <c r="J24" s="29"/>
      <c r="K24" s="29"/>
      <c r="L24" s="29"/>
      <c r="M24" s="29"/>
      <c r="N24" s="29"/>
      <c r="O24" s="29"/>
      <c r="P24" s="29"/>
      <c r="Q24" s="29"/>
      <c r="R24" s="29"/>
      <c r="S24" s="29"/>
    </row>
    <row r="25" customHeight="1" spans="1:19">
      <c r="A25" s="30"/>
      <c r="B25" s="32"/>
      <c r="C25" s="32"/>
      <c r="D25" s="32"/>
      <c r="E25" s="32"/>
      <c r="F25" s="32"/>
      <c r="G25" s="32"/>
      <c r="H25" s="31"/>
      <c r="I25" s="42"/>
      <c r="J25" s="29"/>
      <c r="K25" s="29"/>
      <c r="L25" s="29"/>
      <c r="M25" s="29"/>
      <c r="N25" s="29"/>
      <c r="O25" s="29"/>
      <c r="P25" s="29"/>
      <c r="Q25" s="29"/>
      <c r="R25" s="29"/>
      <c r="S25" s="29"/>
    </row>
    <row r="26" customHeight="1" spans="1:19">
      <c r="A26" s="29"/>
      <c r="B26" s="29"/>
      <c r="C26" s="29"/>
      <c r="D26" s="29"/>
      <c r="E26" s="29"/>
      <c r="F26" s="29"/>
      <c r="G26" s="29"/>
      <c r="J26" s="29"/>
      <c r="K26" s="29"/>
      <c r="L26" s="29"/>
      <c r="M26" s="29"/>
      <c r="N26" s="29"/>
      <c r="O26" s="29"/>
      <c r="P26" s="29"/>
      <c r="Q26" s="29"/>
      <c r="R26" s="29"/>
      <c r="S26" s="29"/>
    </row>
    <row r="27" customHeight="1" spans="1:19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</row>
    <row r="28" customHeight="1" spans="1:19">
      <c r="A28" s="30"/>
      <c r="B28" s="30"/>
      <c r="C28" s="30"/>
      <c r="D28" s="30"/>
      <c r="E28" s="30"/>
      <c r="F28" s="30"/>
      <c r="G28" s="30"/>
      <c r="H28" s="31"/>
      <c r="I28" s="45"/>
      <c r="J28" s="55"/>
      <c r="K28" s="55"/>
      <c r="L28" s="55"/>
      <c r="M28" s="55"/>
      <c r="N28" s="55"/>
      <c r="O28" s="55"/>
      <c r="P28" s="55"/>
      <c r="Q28" s="55"/>
      <c r="R28" s="55"/>
      <c r="S28" s="29"/>
    </row>
    <row r="29" customHeight="1" spans="1:19">
      <c r="A29" s="30"/>
      <c r="B29" s="32"/>
      <c r="C29" s="32"/>
      <c r="D29" s="32"/>
      <c r="E29" s="32"/>
      <c r="F29" s="32"/>
      <c r="G29" s="32"/>
      <c r="H29" s="33"/>
      <c r="I29" s="45"/>
      <c r="J29" s="29"/>
      <c r="K29" s="29"/>
      <c r="L29" s="29"/>
      <c r="M29" s="29"/>
      <c r="N29" s="29"/>
      <c r="O29" s="29"/>
      <c r="P29" s="29"/>
      <c r="Q29" s="29"/>
      <c r="R29" s="29"/>
      <c r="S29" s="29"/>
    </row>
    <row r="30" customHeight="1" spans="1:19">
      <c r="A30" s="30"/>
      <c r="B30" s="32"/>
      <c r="C30" s="32"/>
      <c r="D30" s="32"/>
      <c r="E30" s="32"/>
      <c r="F30" s="32"/>
      <c r="G30" s="32"/>
      <c r="H30" s="33"/>
      <c r="I30" s="45"/>
      <c r="J30" s="29"/>
      <c r="K30" s="29"/>
      <c r="L30" s="29"/>
      <c r="M30" s="29"/>
      <c r="N30" s="29"/>
      <c r="O30" s="29"/>
      <c r="P30" s="29"/>
      <c r="Q30" s="29"/>
      <c r="R30" s="29"/>
      <c r="S30" s="29"/>
    </row>
    <row r="31" customHeight="1" spans="1:19">
      <c r="A31" s="30"/>
      <c r="B31" s="32"/>
      <c r="C31" s="32"/>
      <c r="D31" s="32"/>
      <c r="E31" s="32"/>
      <c r="F31" s="32"/>
      <c r="G31" s="32"/>
      <c r="H31" s="33"/>
      <c r="I31" s="45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customHeight="1" spans="1:19">
      <c r="A32" s="35"/>
      <c r="B32" s="36"/>
      <c r="C32" s="36"/>
      <c r="D32" s="36"/>
      <c r="E32" s="36"/>
      <c r="F32" s="36"/>
      <c r="G32" s="36"/>
      <c r="H32" s="36"/>
      <c r="I32" s="45"/>
      <c r="J32" s="29"/>
      <c r="K32" s="29"/>
      <c r="L32" s="29"/>
      <c r="M32" s="29"/>
      <c r="N32" s="29"/>
      <c r="O32" s="29"/>
      <c r="P32" s="29"/>
      <c r="Q32" s="29"/>
      <c r="R32" s="29"/>
      <c r="S32" s="29"/>
    </row>
    <row r="33" customHeight="1" spans="1:19">
      <c r="A33" s="30"/>
      <c r="B33" s="32"/>
      <c r="C33" s="32"/>
      <c r="D33" s="32"/>
      <c r="E33" s="32"/>
      <c r="F33" s="32"/>
      <c r="G33" s="32"/>
      <c r="H33" s="31"/>
      <c r="I33" s="45"/>
      <c r="J33" s="29"/>
      <c r="K33" s="29"/>
      <c r="L33" s="29"/>
      <c r="M33" s="29"/>
      <c r="N33" s="29"/>
      <c r="O33" s="29"/>
      <c r="P33" s="29"/>
      <c r="Q33" s="29"/>
      <c r="R33" s="29"/>
      <c r="S33" s="29"/>
    </row>
    <row r="34" customHeight="1" spans="1:19">
      <c r="A34" s="29"/>
      <c r="B34" s="29"/>
      <c r="C34" s="29"/>
      <c r="D34" s="29"/>
      <c r="E34" s="29"/>
      <c r="F34" s="29"/>
      <c r="G34" s="29"/>
      <c r="H34" s="49"/>
      <c r="I34" s="56"/>
      <c r="J34" s="29"/>
      <c r="K34" s="29"/>
      <c r="L34" s="29"/>
      <c r="M34" s="29"/>
      <c r="N34" s="29"/>
      <c r="O34" s="29"/>
      <c r="P34" s="29"/>
      <c r="Q34" s="29"/>
      <c r="R34" s="29"/>
      <c r="S34" s="29"/>
    </row>
    <row r="35" customHeight="1" spans="1:19">
      <c r="A35" s="29"/>
      <c r="B35" s="29"/>
      <c r="C35" s="29"/>
      <c r="D35" s="29"/>
      <c r="E35" s="29"/>
      <c r="F35" s="29"/>
      <c r="G35" s="29"/>
      <c r="H35" s="29"/>
      <c r="I35" s="56"/>
      <c r="J35" s="29"/>
      <c r="K35" s="29"/>
      <c r="L35" s="29"/>
      <c r="M35" s="29"/>
      <c r="N35" s="29"/>
      <c r="O35" s="29"/>
      <c r="P35" s="29"/>
      <c r="Q35" s="29"/>
      <c r="R35" s="29"/>
      <c r="S35" s="29"/>
    </row>
    <row r="36" customHeight="1" spans="1:19">
      <c r="A36" s="30"/>
      <c r="B36" s="30"/>
      <c r="C36" s="30"/>
      <c r="D36" s="30"/>
      <c r="E36" s="30"/>
      <c r="F36" s="30"/>
      <c r="G36" s="30"/>
      <c r="H36" s="31"/>
      <c r="I36" s="45"/>
      <c r="J36" s="55"/>
      <c r="K36" s="55"/>
      <c r="L36" s="55"/>
      <c r="M36" s="55"/>
      <c r="N36" s="55"/>
      <c r="O36" s="55"/>
      <c r="P36" s="55"/>
      <c r="Q36" s="55"/>
      <c r="R36" s="55"/>
      <c r="S36" s="29"/>
    </row>
    <row r="37" customHeight="1" spans="1:19">
      <c r="A37" s="30"/>
      <c r="B37" s="32"/>
      <c r="C37" s="32"/>
      <c r="D37" s="32"/>
      <c r="E37" s="32"/>
      <c r="F37" s="32"/>
      <c r="G37" s="32"/>
      <c r="H37" s="31"/>
      <c r="I37" s="45"/>
      <c r="J37" s="29"/>
      <c r="K37" s="29"/>
      <c r="L37" s="29"/>
      <c r="M37" s="29"/>
      <c r="N37" s="29"/>
      <c r="O37" s="29"/>
      <c r="P37" s="29"/>
      <c r="Q37" s="29"/>
      <c r="R37" s="29"/>
      <c r="S37" s="29"/>
    </row>
    <row r="38" customHeight="1" spans="1:19">
      <c r="A38" s="35"/>
      <c r="B38" s="36"/>
      <c r="C38" s="36"/>
      <c r="D38" s="36"/>
      <c r="E38" s="36"/>
      <c r="F38" s="36"/>
      <c r="G38" s="36"/>
      <c r="H38" s="31"/>
      <c r="I38" s="45"/>
      <c r="J38" s="29"/>
      <c r="K38" s="29"/>
      <c r="L38" s="29"/>
      <c r="M38" s="29"/>
      <c r="N38" s="29"/>
      <c r="O38" s="29"/>
      <c r="P38" s="29"/>
      <c r="Q38" s="29"/>
      <c r="R38" s="29"/>
      <c r="S38" s="29"/>
    </row>
    <row r="39" customHeight="1" spans="1:19">
      <c r="A39" s="30"/>
      <c r="B39" s="32"/>
      <c r="C39" s="32"/>
      <c r="D39" s="32"/>
      <c r="E39" s="32"/>
      <c r="F39" s="32"/>
      <c r="G39" s="32"/>
      <c r="H39" s="31"/>
      <c r="I39" s="45"/>
      <c r="J39" s="29"/>
      <c r="K39" s="29"/>
      <c r="L39" s="29"/>
      <c r="M39" s="29"/>
      <c r="N39" s="29"/>
      <c r="O39" s="29"/>
      <c r="P39" s="29"/>
      <c r="Q39" s="29"/>
      <c r="R39" s="29"/>
      <c r="S39" s="29"/>
    </row>
    <row r="40" customHeight="1" spans="1:19">
      <c r="A40" s="30"/>
      <c r="B40" s="32"/>
      <c r="C40" s="32"/>
      <c r="D40" s="32"/>
      <c r="E40" s="32"/>
      <c r="F40" s="32"/>
      <c r="G40" s="32"/>
      <c r="H40" s="31"/>
      <c r="I40" s="45"/>
      <c r="J40" s="29"/>
      <c r="K40" s="29"/>
      <c r="L40" s="29"/>
      <c r="M40" s="29"/>
      <c r="N40" s="29"/>
      <c r="O40" s="29"/>
      <c r="P40" s="29"/>
      <c r="Q40" s="29"/>
      <c r="R40" s="29"/>
      <c r="S40" s="29"/>
    </row>
    <row r="41" customHeight="1" spans="1:19">
      <c r="A41" s="30"/>
      <c r="B41" s="32"/>
      <c r="C41" s="32"/>
      <c r="D41" s="32"/>
      <c r="E41" s="32"/>
      <c r="F41" s="32"/>
      <c r="G41" s="32"/>
      <c r="H41" s="31"/>
      <c r="I41" s="45"/>
      <c r="J41" s="29"/>
      <c r="K41" s="29"/>
      <c r="L41" s="29"/>
      <c r="M41" s="29"/>
      <c r="N41" s="29"/>
      <c r="O41" s="29"/>
      <c r="P41" s="29"/>
      <c r="Q41" s="29"/>
      <c r="R41" s="29"/>
      <c r="S41" s="29"/>
    </row>
    <row r="42" customHeight="1" spans="1:19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</row>
    <row r="43" customHeight="1" spans="1:19">
      <c r="A43" s="37"/>
      <c r="B43" s="38"/>
      <c r="C43" s="38"/>
      <c r="D43" s="38"/>
      <c r="E43" s="38"/>
      <c r="F43" s="38"/>
      <c r="G43" s="40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8"/>
  <sheetViews>
    <sheetView workbookViewId="0">
      <selection activeCell="A1" sqref="A1"/>
    </sheetView>
  </sheetViews>
  <sheetFormatPr defaultColWidth="12.6296296296296" defaultRowHeight="15.75" customHeight="1"/>
  <sheetData>
    <row r="1" customHeight="1" spans="2:3">
      <c r="B1" s="3" t="s">
        <v>66</v>
      </c>
      <c r="C1" s="3" t="s">
        <v>67</v>
      </c>
    </row>
    <row r="2" customHeight="1" spans="1:3">
      <c r="A2" s="3" t="s">
        <v>68</v>
      </c>
      <c r="B2" s="3" t="s">
        <v>69</v>
      </c>
      <c r="C2" s="3" t="s">
        <v>70</v>
      </c>
    </row>
    <row r="3" customHeight="1" spans="2:5">
      <c r="B3" s="3" t="s">
        <v>71</v>
      </c>
      <c r="C3" s="3" t="s">
        <v>72</v>
      </c>
      <c r="D3" s="3" t="s">
        <v>73</v>
      </c>
      <c r="E3" s="3">
        <v>4000</v>
      </c>
    </row>
    <row r="4" customHeight="1" spans="2:5">
      <c r="B4" s="3" t="s">
        <v>54</v>
      </c>
      <c r="C4" s="3" t="s">
        <v>55</v>
      </c>
      <c r="D4" s="3" t="s">
        <v>73</v>
      </c>
      <c r="E4" s="3">
        <v>30</v>
      </c>
    </row>
    <row r="5" customHeight="1" spans="2:2">
      <c r="B5" s="3" t="s">
        <v>74</v>
      </c>
    </row>
    <row r="6" customHeight="1" spans="1:1">
      <c r="A6" s="3" t="s">
        <v>75</v>
      </c>
    </row>
    <row r="7" customHeight="1" spans="2:5">
      <c r="B7" s="3" t="s">
        <v>71</v>
      </c>
      <c r="C7" s="3" t="s">
        <v>72</v>
      </c>
      <c r="D7" s="61" t="s">
        <v>76</v>
      </c>
      <c r="E7" s="3">
        <v>4000</v>
      </c>
    </row>
    <row r="8" customHeight="1" spans="2:5">
      <c r="B8" s="3" t="s">
        <v>54</v>
      </c>
      <c r="C8" s="3" t="s">
        <v>55</v>
      </c>
      <c r="D8" s="61" t="s">
        <v>77</v>
      </c>
      <c r="E8" s="3">
        <v>30</v>
      </c>
    </row>
    <row r="10" customHeight="1" spans="1:9">
      <c r="A10" s="30" t="s">
        <v>8</v>
      </c>
      <c r="B10" s="30" t="s">
        <v>54</v>
      </c>
      <c r="C10" s="30" t="s">
        <v>55</v>
      </c>
      <c r="D10" s="30" t="s">
        <v>56</v>
      </c>
      <c r="E10" s="30" t="s">
        <v>57</v>
      </c>
      <c r="F10" s="30" t="s">
        <v>15</v>
      </c>
      <c r="G10" s="30" t="s">
        <v>16</v>
      </c>
      <c r="H10" s="31" t="s">
        <v>17</v>
      </c>
      <c r="I10" s="42"/>
    </row>
    <row r="11" customHeight="1" spans="1:9">
      <c r="A11" s="30" t="s">
        <v>56</v>
      </c>
      <c r="B11" s="32">
        <v>120</v>
      </c>
      <c r="C11" s="32">
        <v>160</v>
      </c>
      <c r="D11" s="32">
        <v>1</v>
      </c>
      <c r="E11" s="32">
        <v>0</v>
      </c>
      <c r="F11" s="32">
        <v>0</v>
      </c>
      <c r="G11" s="32">
        <v>4000</v>
      </c>
      <c r="H11" s="33">
        <f t="shared" ref="H11:H12" si="0">G11/C11</f>
        <v>25</v>
      </c>
      <c r="I11" s="42"/>
    </row>
    <row r="12" customHeight="1" spans="1:9">
      <c r="A12" s="30" t="s">
        <v>57</v>
      </c>
      <c r="B12" s="32">
        <v>1</v>
      </c>
      <c r="C12" s="32">
        <v>1</v>
      </c>
      <c r="D12" s="32">
        <v>0</v>
      </c>
      <c r="E12" s="32">
        <v>1</v>
      </c>
      <c r="F12" s="32">
        <v>0</v>
      </c>
      <c r="G12" s="32">
        <v>30</v>
      </c>
      <c r="H12" s="33">
        <f t="shared" si="0"/>
        <v>30</v>
      </c>
      <c r="I12" s="42"/>
    </row>
    <row r="13" customHeight="1" spans="1:9">
      <c r="A13" s="30" t="s">
        <v>18</v>
      </c>
      <c r="B13" s="32">
        <v>-600</v>
      </c>
      <c r="C13" s="32">
        <v>-700</v>
      </c>
      <c r="D13" s="32">
        <v>0</v>
      </c>
      <c r="E13" s="32">
        <v>0</v>
      </c>
      <c r="F13" s="32">
        <v>1</v>
      </c>
      <c r="G13" s="32">
        <v>0</v>
      </c>
      <c r="H13" s="33"/>
      <c r="I13" s="42"/>
    </row>
    <row r="14" customHeight="1" spans="2:2">
      <c r="B14" s="3" t="s">
        <v>78</v>
      </c>
    </row>
    <row r="16" customHeight="1" spans="1:8">
      <c r="A16" s="30" t="s">
        <v>8</v>
      </c>
      <c r="B16" s="30" t="s">
        <v>54</v>
      </c>
      <c r="C16" s="30" t="s">
        <v>55</v>
      </c>
      <c r="D16" s="30" t="s">
        <v>56</v>
      </c>
      <c r="E16" s="30" t="s">
        <v>57</v>
      </c>
      <c r="F16" s="30" t="s">
        <v>15</v>
      </c>
      <c r="G16" s="30" t="s">
        <v>16</v>
      </c>
      <c r="H16" s="31" t="s">
        <v>17</v>
      </c>
    </row>
    <row r="17" customHeight="1" spans="1:8">
      <c r="A17" s="30" t="s">
        <v>55</v>
      </c>
      <c r="B17" s="32">
        <v>120</v>
      </c>
      <c r="C17" s="32">
        <v>160</v>
      </c>
      <c r="D17" s="32">
        <v>1</v>
      </c>
      <c r="E17" s="32">
        <v>0</v>
      </c>
      <c r="F17" s="32">
        <v>0</v>
      </c>
      <c r="G17" s="32">
        <v>4000</v>
      </c>
      <c r="H17" s="33">
        <f t="shared" ref="H17:H18" si="1">G17/B17</f>
        <v>33.3333333333333</v>
      </c>
    </row>
    <row r="18" customHeight="1" spans="1:8">
      <c r="A18" s="30" t="s">
        <v>57</v>
      </c>
      <c r="B18" s="32">
        <f t="shared" ref="B18:E18" si="2">B12*160-B11</f>
        <v>40</v>
      </c>
      <c r="C18" s="32">
        <f t="shared" si="2"/>
        <v>0</v>
      </c>
      <c r="D18" s="32">
        <f t="shared" si="2"/>
        <v>-1</v>
      </c>
      <c r="E18" s="32">
        <f t="shared" si="2"/>
        <v>160</v>
      </c>
      <c r="F18" s="32">
        <v>0</v>
      </c>
      <c r="G18" s="32">
        <f>G12*160-G11</f>
        <v>800</v>
      </c>
      <c r="H18" s="33">
        <f t="shared" si="1"/>
        <v>20</v>
      </c>
    </row>
    <row r="19" customHeight="1" spans="1:8">
      <c r="A19" s="30" t="s">
        <v>18</v>
      </c>
      <c r="B19" s="32">
        <f t="shared" ref="B19:G19" si="3">B13+B17*$C$20</f>
        <v>-75</v>
      </c>
      <c r="C19" s="32">
        <f t="shared" si="3"/>
        <v>0</v>
      </c>
      <c r="D19" s="32">
        <f t="shared" si="3"/>
        <v>4.375</v>
      </c>
      <c r="E19" s="32">
        <f t="shared" si="3"/>
        <v>0</v>
      </c>
      <c r="F19" s="32">
        <f t="shared" si="3"/>
        <v>1</v>
      </c>
      <c r="G19" s="32">
        <f t="shared" si="3"/>
        <v>17500</v>
      </c>
      <c r="H19" s="33"/>
    </row>
    <row r="20" customHeight="1" spans="2:3">
      <c r="B20" s="3" t="s">
        <v>79</v>
      </c>
      <c r="C20" s="3">
        <f>700/160</f>
        <v>4.375</v>
      </c>
    </row>
    <row r="22" customHeight="1" spans="1:8">
      <c r="A22" s="30" t="s">
        <v>8</v>
      </c>
      <c r="B22" s="30" t="s">
        <v>54</v>
      </c>
      <c r="C22" s="30" t="s">
        <v>55</v>
      </c>
      <c r="D22" s="30" t="s">
        <v>56</v>
      </c>
      <c r="E22" s="30" t="s">
        <v>57</v>
      </c>
      <c r="F22" s="30" t="s">
        <v>15</v>
      </c>
      <c r="G22" s="30" t="s">
        <v>16</v>
      </c>
      <c r="H22" s="31" t="s">
        <v>17</v>
      </c>
    </row>
    <row r="23" customHeight="1" spans="1:9">
      <c r="A23" s="30" t="s">
        <v>55</v>
      </c>
      <c r="B23" s="32">
        <f t="shared" ref="B23:E23" si="4">B17-B24*3</f>
        <v>0</v>
      </c>
      <c r="C23" s="32">
        <f t="shared" si="4"/>
        <v>160</v>
      </c>
      <c r="D23" s="32">
        <f t="shared" si="4"/>
        <v>4</v>
      </c>
      <c r="E23" s="32">
        <f t="shared" si="4"/>
        <v>-480</v>
      </c>
      <c r="F23" s="32">
        <v>0</v>
      </c>
      <c r="G23" s="32">
        <f>G17-G24*3</f>
        <v>1600</v>
      </c>
      <c r="H23" s="33" t="e">
        <f t="shared" ref="H23:H24" si="5">G23/B23</f>
        <v>#DIV/0!</v>
      </c>
      <c r="I23" s="4">
        <f>G23/C23</f>
        <v>10</v>
      </c>
    </row>
    <row r="24" customHeight="1" spans="1:9">
      <c r="A24" s="30" t="s">
        <v>54</v>
      </c>
      <c r="B24" s="32">
        <v>40</v>
      </c>
      <c r="C24" s="32">
        <v>0</v>
      </c>
      <c r="D24" s="32">
        <v>-1</v>
      </c>
      <c r="E24" s="32">
        <v>160</v>
      </c>
      <c r="F24" s="32">
        <v>0</v>
      </c>
      <c r="G24" s="32">
        <v>800</v>
      </c>
      <c r="H24" s="33">
        <f t="shared" si="5"/>
        <v>20</v>
      </c>
      <c r="I24" s="4">
        <f>G24/B24</f>
        <v>20</v>
      </c>
    </row>
    <row r="25" customHeight="1" spans="1:8">
      <c r="A25" s="30" t="s">
        <v>18</v>
      </c>
      <c r="B25" s="32">
        <f t="shared" ref="B25:G25" si="6">B19-B18*$B$26</f>
        <v>0</v>
      </c>
      <c r="C25" s="32">
        <f t="shared" si="6"/>
        <v>0</v>
      </c>
      <c r="D25" s="32">
        <f t="shared" si="6"/>
        <v>2.5</v>
      </c>
      <c r="E25" s="32">
        <f t="shared" si="6"/>
        <v>300</v>
      </c>
      <c r="F25" s="32">
        <f t="shared" si="6"/>
        <v>1</v>
      </c>
      <c r="G25" s="32">
        <f t="shared" si="6"/>
        <v>19000</v>
      </c>
      <c r="H25" s="33"/>
    </row>
    <row r="26" customHeight="1" spans="2:2">
      <c r="B26" s="4">
        <f>B19/B18</f>
        <v>-1.875</v>
      </c>
    </row>
    <row r="27" customHeight="1" spans="2:2">
      <c r="B27" s="3">
        <f>B18/B19</f>
        <v>-0.533333333333333</v>
      </c>
    </row>
    <row r="28" customHeight="1" spans="2:7">
      <c r="B28" s="4">
        <f>G24/B24</f>
        <v>20</v>
      </c>
      <c r="C28" s="4">
        <f>G23/C23</f>
        <v>10</v>
      </c>
      <c r="D28" s="3">
        <v>0</v>
      </c>
      <c r="E28" s="3">
        <v>0</v>
      </c>
      <c r="G28" s="4">
        <f>20*600+10*700</f>
        <v>19000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19"/>
  <sheetViews>
    <sheetView workbookViewId="0">
      <selection activeCell="A1" sqref="A1"/>
    </sheetView>
  </sheetViews>
  <sheetFormatPr defaultColWidth="12.6296296296296" defaultRowHeight="15.75" customHeight="1"/>
  <cols>
    <col min="1" max="9" width="7.37962962962963" customWidth="1"/>
    <col min="11" max="16" width="8.37962962962963" customWidth="1"/>
  </cols>
  <sheetData>
    <row r="1" customHeight="1" spans="1:7">
      <c r="A1" s="28" t="s">
        <v>3</v>
      </c>
      <c r="B1" s="28" t="s">
        <v>37</v>
      </c>
      <c r="D1" s="28" t="s">
        <v>4</v>
      </c>
      <c r="E1" s="28"/>
      <c r="F1" s="28" t="s">
        <v>0</v>
      </c>
      <c r="G1" s="28" t="s">
        <v>38</v>
      </c>
    </row>
    <row r="2" customHeight="1" spans="1:9">
      <c r="A2" s="29" t="s">
        <v>80</v>
      </c>
      <c r="B2" s="29" t="s">
        <v>81</v>
      </c>
      <c r="C2" s="29"/>
      <c r="D2" s="29"/>
      <c r="E2" s="29"/>
      <c r="F2" s="29"/>
      <c r="G2" s="29"/>
      <c r="H2" s="3" t="s">
        <v>6</v>
      </c>
      <c r="I2" s="4" t="s">
        <v>7</v>
      </c>
    </row>
    <row r="3" customHeight="1" spans="1:16">
      <c r="A3" s="29">
        <v>6</v>
      </c>
      <c r="B3" s="29">
        <v>5</v>
      </c>
      <c r="C3" s="29"/>
      <c r="D3" s="29"/>
      <c r="E3" s="29"/>
      <c r="F3" s="29"/>
      <c r="G3" s="29"/>
      <c r="H3" s="29" t="str">
        <f t="array" ref="H3">INDEX(A4:F4,MATCH(MAX(A7:F7),A7:F7,0))</f>
        <v>y</v>
      </c>
      <c r="I3" s="29" t="str">
        <f t="array" ref="I3">INDEX(A5:A6,MATCH(_xlfn.MINIFS(H5:H6,H5:H6,"&gt;0"),H5:H6,0))</f>
        <v>a2</v>
      </c>
      <c r="K3" s="41" t="s">
        <v>54</v>
      </c>
      <c r="L3" s="41" t="s">
        <v>55</v>
      </c>
      <c r="M3" s="41" t="s">
        <v>56</v>
      </c>
      <c r="N3" s="41" t="s">
        <v>57</v>
      </c>
      <c r="O3" s="41" t="s">
        <v>82</v>
      </c>
      <c r="P3" s="41" t="s">
        <v>83</v>
      </c>
    </row>
    <row r="4" customHeight="1" spans="1:16">
      <c r="A4" s="30" t="s">
        <v>8</v>
      </c>
      <c r="B4" s="30" t="s">
        <v>9</v>
      </c>
      <c r="C4" s="30" t="s">
        <v>10</v>
      </c>
      <c r="D4" s="30" t="s">
        <v>11</v>
      </c>
      <c r="E4" s="30" t="s">
        <v>12</v>
      </c>
      <c r="F4" s="30" t="s">
        <v>15</v>
      </c>
      <c r="G4" s="30" t="s">
        <v>16</v>
      </c>
      <c r="H4" s="31" t="s">
        <v>17</v>
      </c>
      <c r="I4" s="42"/>
      <c r="K4" s="41">
        <v>0</v>
      </c>
      <c r="L4" s="43">
        <f t="shared" ref="L4:L18" si="0">(7-K4)/3</f>
        <v>2.33333333333333</v>
      </c>
      <c r="M4" s="44">
        <f t="shared" ref="M4:M18" si="1">5-2*K4+3*L4</f>
        <v>12</v>
      </c>
      <c r="N4" s="41">
        <v>0</v>
      </c>
      <c r="O4" s="41" t="s">
        <v>84</v>
      </c>
      <c r="P4" s="41" t="s">
        <v>84</v>
      </c>
    </row>
    <row r="5" customHeight="1" spans="1:16">
      <c r="A5" s="30" t="s">
        <v>11</v>
      </c>
      <c r="B5" s="32">
        <v>2</v>
      </c>
      <c r="C5" s="32">
        <v>-3</v>
      </c>
      <c r="D5" s="32">
        <v>1</v>
      </c>
      <c r="E5" s="32">
        <v>0</v>
      </c>
      <c r="F5" s="32">
        <v>0</v>
      </c>
      <c r="G5" s="32">
        <v>5</v>
      </c>
      <c r="H5" s="33">
        <f>G5/HLOOKUP($H$3,$B$4:$F$7,ROWS($C$4:$C5),0)</f>
        <v>-1.66666666666667</v>
      </c>
      <c r="I5" s="42"/>
      <c r="K5" s="41">
        <v>0.5</v>
      </c>
      <c r="L5" s="43">
        <f t="shared" si="0"/>
        <v>2.16666666666667</v>
      </c>
      <c r="M5" s="44">
        <f t="shared" si="1"/>
        <v>10.5</v>
      </c>
      <c r="N5" s="41">
        <v>0</v>
      </c>
      <c r="O5" s="41"/>
      <c r="P5" s="41" t="s">
        <v>84</v>
      </c>
    </row>
    <row r="6" customHeight="1" spans="1:16">
      <c r="A6" s="30" t="s">
        <v>12</v>
      </c>
      <c r="B6" s="32">
        <v>1</v>
      </c>
      <c r="C6" s="32">
        <v>3</v>
      </c>
      <c r="D6" s="32">
        <v>0</v>
      </c>
      <c r="E6" s="32">
        <v>-1</v>
      </c>
      <c r="F6" s="32">
        <v>0</v>
      </c>
      <c r="G6" s="32">
        <v>7</v>
      </c>
      <c r="H6" s="33">
        <f>G6/HLOOKUP($H$3,$B$4:$F$7,ROWS($C$4:$C6),0)</f>
        <v>2.33333333333333</v>
      </c>
      <c r="I6" s="42"/>
      <c r="K6" s="41">
        <v>1</v>
      </c>
      <c r="L6" s="43">
        <f t="shared" si="0"/>
        <v>2</v>
      </c>
      <c r="M6" s="44">
        <f t="shared" si="1"/>
        <v>9</v>
      </c>
      <c r="N6" s="41">
        <v>0</v>
      </c>
      <c r="O6" s="41"/>
      <c r="P6" s="41" t="s">
        <v>84</v>
      </c>
    </row>
    <row r="7" customHeight="1" spans="1:16">
      <c r="A7" s="30" t="s">
        <v>18</v>
      </c>
      <c r="B7" s="32">
        <v>2</v>
      </c>
      <c r="C7" s="32">
        <v>6</v>
      </c>
      <c r="D7" s="32">
        <v>0</v>
      </c>
      <c r="E7" s="32">
        <v>0</v>
      </c>
      <c r="F7" s="32">
        <v>1</v>
      </c>
      <c r="G7" s="32">
        <v>0</v>
      </c>
      <c r="H7" s="33"/>
      <c r="I7" s="42"/>
      <c r="K7" s="41">
        <v>1.5</v>
      </c>
      <c r="L7" s="43">
        <f t="shared" si="0"/>
        <v>1.83333333333333</v>
      </c>
      <c r="M7" s="44">
        <f t="shared" si="1"/>
        <v>7.5</v>
      </c>
      <c r="N7" s="41">
        <v>0</v>
      </c>
      <c r="O7" s="41"/>
      <c r="P7" s="41" t="s">
        <v>84</v>
      </c>
    </row>
    <row r="8" customHeight="1" spans="1:16">
      <c r="A8" s="29"/>
      <c r="B8" s="29"/>
      <c r="C8" s="29"/>
      <c r="D8" s="29"/>
      <c r="E8" s="29"/>
      <c r="F8" s="29"/>
      <c r="G8" s="29"/>
      <c r="H8" s="3" t="s">
        <v>6</v>
      </c>
      <c r="I8" s="4" t="s">
        <v>7</v>
      </c>
      <c r="K8" s="41">
        <v>2</v>
      </c>
      <c r="L8" s="43">
        <f t="shared" si="0"/>
        <v>1.66666666666667</v>
      </c>
      <c r="M8" s="44">
        <f t="shared" si="1"/>
        <v>6</v>
      </c>
      <c r="N8" s="41">
        <v>0</v>
      </c>
      <c r="O8" s="41"/>
      <c r="P8" s="41" t="s">
        <v>84</v>
      </c>
    </row>
    <row r="9" customHeight="1" spans="1:16">
      <c r="A9" s="34">
        <f>(FLOOR((ROW(H11)-3)/$A$3,1)-1)*$A$3+1</f>
        <v>1</v>
      </c>
      <c r="B9" s="29"/>
      <c r="C9" s="29"/>
      <c r="D9" s="29"/>
      <c r="F9" s="29"/>
      <c r="G9" s="29"/>
      <c r="H9" s="29" t="str">
        <f t="array" ref="H9">INDEX(B10:F10,MATCH(MIN(B13:F13),B13:F13,0))</f>
        <v>x</v>
      </c>
      <c r="I9" s="29" t="str">
        <f t="array" ref="I9">INDEX(A11:A12,MATCH(_xlfn.MINIFS(H11:H12,H11:H12,"&gt;0"),H11:H12,0))</f>
        <v>a1</v>
      </c>
      <c r="K9" s="41">
        <v>2.5</v>
      </c>
      <c r="L9" s="43">
        <f t="shared" si="0"/>
        <v>1.5</v>
      </c>
      <c r="M9" s="44">
        <f t="shared" si="1"/>
        <v>4.5</v>
      </c>
      <c r="N9" s="41">
        <v>0</v>
      </c>
      <c r="O9" s="41"/>
      <c r="P9" s="41" t="s">
        <v>84</v>
      </c>
    </row>
    <row r="10" customHeight="1" spans="1:16">
      <c r="A10" s="30" t="s">
        <v>8</v>
      </c>
      <c r="B10" s="30" t="s">
        <v>9</v>
      </c>
      <c r="C10" s="30" t="s">
        <v>10</v>
      </c>
      <c r="D10" s="30" t="s">
        <v>11</v>
      </c>
      <c r="E10" s="30" t="s">
        <v>12</v>
      </c>
      <c r="F10" s="30" t="s">
        <v>15</v>
      </c>
      <c r="G10" s="30" t="s">
        <v>16</v>
      </c>
      <c r="H10" s="31" t="s">
        <v>17</v>
      </c>
      <c r="I10" s="45" t="s">
        <v>23</v>
      </c>
      <c r="K10" s="41">
        <v>3</v>
      </c>
      <c r="L10" s="43">
        <f t="shared" si="0"/>
        <v>1.33333333333333</v>
      </c>
      <c r="M10" s="44">
        <f t="shared" si="1"/>
        <v>3</v>
      </c>
      <c r="N10" s="41">
        <v>0</v>
      </c>
      <c r="O10" s="41"/>
      <c r="P10" s="41" t="s">
        <v>84</v>
      </c>
    </row>
    <row r="11" customHeight="1" spans="1:16">
      <c r="A11" s="35" t="s">
        <v>11</v>
      </c>
      <c r="B11" s="36">
        <f>IF($A11=INDEX($H$3:$H$43,$A$9,1),B5/$I11,B5-$I11*VLOOKUP(INDEX($H$3:$H$43,$A$9,1),$A$11:$G$13,COLUMNS($A5:B5),0))</f>
        <v>3</v>
      </c>
      <c r="C11" s="36">
        <f>IF($A11=INDEX($H$3:$H$43,$A$9,1),C5/$I11,C5-$I11*VLOOKUP(INDEX($H$3:$H$43,$A$9,1),$A$11:$G$13,COLUMNS($A5:C5),0))</f>
        <v>0</v>
      </c>
      <c r="D11" s="36">
        <f>IF($A11=INDEX($H$3:$H$43,$A$9,1),D5/$I11,D5-$I11*VLOOKUP(INDEX($H$3:$H$43,$A$9,1),$A$11:$G$13,COLUMNS($A5:D5),0))</f>
        <v>1</v>
      </c>
      <c r="E11" s="36">
        <f>IF($A11=INDEX($H$3:$H$43,$A$9,1),E5/$I11,E5-$I11*VLOOKUP(INDEX($H$3:$H$43,$A$9,1),$A$11:$G$13,COLUMNS($A5:E5),0))</f>
        <v>-1</v>
      </c>
      <c r="F11" s="36">
        <f>IF($A11=INDEX($H$3:$H$43,$A$9,1),F5/$I11,F5-$I11*VLOOKUP(INDEX($H$3:$H$43,$A$9,1),$A$11:$G$13,COLUMNS($A5:F5),0))</f>
        <v>0</v>
      </c>
      <c r="G11" s="36">
        <f>IF($A11=INDEX($H$3:$H$43,$A$9,1),G5/$I11,G5-$I11*VLOOKUP(INDEX($H$3:$H$43,$A$9,1),$A$11:$G$13,COLUMNS($A5:G5),0))</f>
        <v>12</v>
      </c>
      <c r="H11" s="33">
        <f>G11/HLOOKUP($H$9,$B$10:$F$13,ROWS($C$10:$C11),0)</f>
        <v>4</v>
      </c>
      <c r="I11" s="45">
        <f>HLOOKUP(INDEX($H$3:$H$43,$A$9,1),$B$4:$F$7,ROWS($C$4:$C5),0)</f>
        <v>-3</v>
      </c>
      <c r="J11" s="46"/>
      <c r="K11" s="41">
        <v>3.5</v>
      </c>
      <c r="L11" s="43">
        <f t="shared" si="0"/>
        <v>1.16666666666667</v>
      </c>
      <c r="M11" s="44">
        <f t="shared" si="1"/>
        <v>1.5</v>
      </c>
      <c r="N11" s="41">
        <v>0</v>
      </c>
      <c r="O11" s="41"/>
      <c r="P11" s="41" t="s">
        <v>84</v>
      </c>
    </row>
    <row r="12" customHeight="1" spans="1:16">
      <c r="A12" s="30" t="s">
        <v>10</v>
      </c>
      <c r="B12" s="32">
        <f>IF($A12=INDEX($H$3:$H$43,$A$9,1),B6/$I12,B6-$I12*VLOOKUP(INDEX($H$3:$H$43,$A$9,1),$A$11:$G$13,COLUMNS($A6:B6),0))</f>
        <v>0.333333333333333</v>
      </c>
      <c r="C12" s="32">
        <f>IF($A12=INDEX($H$3:$H$43,$A$9,1),C6/$I12,C6-$I12*VLOOKUP(INDEX($H$3:$H$43,$A$9,1),$A$11:$G$13,COLUMNS($A6:C6),0))</f>
        <v>1</v>
      </c>
      <c r="D12" s="32">
        <f>IF($A12=INDEX($H$3:$H$43,$A$9,1),D6/$I12,D6-$I12*VLOOKUP(INDEX($H$3:$H$43,$A$9,1),$A$11:$G$13,COLUMNS($A6:D6),0))</f>
        <v>0</v>
      </c>
      <c r="E12" s="32">
        <f>IF($A12=INDEX($H$3:$H$43,$A$9,1),E6/$I12,E6-$I12*VLOOKUP(INDEX($H$3:$H$43,$A$9,1),$A$11:$G$13,COLUMNS($A6:E6),0))</f>
        <v>-0.333333333333333</v>
      </c>
      <c r="F12" s="32">
        <f>IF($A12=INDEX($H$3:$H$43,$A$9,1),F6/$I12,F6-$I12*VLOOKUP(INDEX($H$3:$H$43,$A$9,1),$A$11:$G$13,COLUMNS($A6:F6),0))</f>
        <v>0</v>
      </c>
      <c r="G12" s="32">
        <f>IF($A12=INDEX($H$3:$H$43,$A$9,1),G6/$I12,G6-$I12*VLOOKUP(INDEX($H$3:$H$43,$A$9,1),$A$11:$G$13,COLUMNS($A6:G6),0))</f>
        <v>2.33333333333333</v>
      </c>
      <c r="H12" s="33">
        <f>G12/HLOOKUP($H$9,$B$10:$F$13,ROWS($C$10:$C12),0)</f>
        <v>7</v>
      </c>
      <c r="I12" s="45">
        <f>HLOOKUP(INDEX($H$3:$H$43,$A$9,1),$B$4:$F$7,ROWS($C$4:$C6),0)</f>
        <v>3</v>
      </c>
      <c r="J12" s="46"/>
      <c r="K12" s="41">
        <v>4</v>
      </c>
      <c r="L12" s="43">
        <f t="shared" si="0"/>
        <v>1</v>
      </c>
      <c r="M12" s="44">
        <f t="shared" si="1"/>
        <v>0</v>
      </c>
      <c r="N12" s="41">
        <v>0</v>
      </c>
      <c r="O12" s="41" t="s">
        <v>84</v>
      </c>
      <c r="P12" s="41" t="s">
        <v>84</v>
      </c>
    </row>
    <row r="13" customHeight="1" spans="1:16">
      <c r="A13" s="30" t="s">
        <v>18</v>
      </c>
      <c r="B13" s="32">
        <f>IF($A13=INDEX($H$3:$H$43,$A$9,1),B7/$I13,B7-$I13*VLOOKUP(INDEX($H$3:$H$43,$A$9,1),$A$11:$G$13,COLUMNS($A7:B7),0))</f>
        <v>0</v>
      </c>
      <c r="C13" s="32">
        <f>IF($A13=INDEX($H$3:$H$43,$A$9,1),C7/$I13,C7-$I13*VLOOKUP(INDEX($H$3:$H$43,$A$9,1),$A$11:$G$13,COLUMNS($A7:C7),0))</f>
        <v>0</v>
      </c>
      <c r="D13" s="32">
        <f>IF($A13=INDEX($H$3:$H$43,$A$9,1),D7/$I13,D7-$I13*VLOOKUP(INDEX($H$3:$H$43,$A$9,1),$A$11:$G$13,COLUMNS($A7:D7),0))</f>
        <v>0</v>
      </c>
      <c r="E13" s="32">
        <f>IF($A13=INDEX($H$3:$H$43,$A$9,1),E7/$I13,E7-$I13*VLOOKUP(INDEX($H$3:$H$43,$A$9,1),$A$11:$G$13,COLUMNS($A7:E7),0))</f>
        <v>2</v>
      </c>
      <c r="F13" s="32">
        <f>IF($A13=INDEX($H$3:$H$43,$A$9,1),F7/$I13,F7-$I13*VLOOKUP(INDEX($H$3:$H$43,$A$9,1),$A$11:$G$13,COLUMNS($A7:F7),0))</f>
        <v>1</v>
      </c>
      <c r="G13" s="32">
        <f>IF($A13=INDEX($H$3:$H$43,$A$9,1),G7/$I13,G7-$I13*VLOOKUP(INDEX($H$3:$H$43,$A$9,1),$A$11:$G$13,COLUMNS($A7:G7),0))</f>
        <v>-14</v>
      </c>
      <c r="H13" s="31"/>
      <c r="I13" s="45">
        <f>HLOOKUP(INDEX($H$3:$H$43,$A$9,1),$B$4:$F$7,ROWS($C$4:$C7),0)</f>
        <v>6</v>
      </c>
      <c r="J13" s="47"/>
      <c r="K13" s="41">
        <v>4.5</v>
      </c>
      <c r="L13" s="43">
        <f t="shared" si="0"/>
        <v>0.833333333333333</v>
      </c>
      <c r="M13" s="44">
        <f t="shared" si="1"/>
        <v>-1.5</v>
      </c>
      <c r="N13" s="41">
        <v>0</v>
      </c>
      <c r="O13" s="41"/>
      <c r="P13" s="44"/>
    </row>
    <row r="14" customHeight="1" spans="1:16">
      <c r="A14" s="37" t="s">
        <v>24</v>
      </c>
      <c r="B14" s="38">
        <v>0</v>
      </c>
      <c r="C14" s="39">
        <v>44745</v>
      </c>
      <c r="D14" s="38">
        <v>12</v>
      </c>
      <c r="E14" s="38">
        <v>0</v>
      </c>
      <c r="F14" s="38"/>
      <c r="G14" s="38">
        <v>-14</v>
      </c>
      <c r="H14" s="40"/>
      <c r="I14" s="4" t="s">
        <v>7</v>
      </c>
      <c r="J14" s="46"/>
      <c r="K14" s="41">
        <v>5</v>
      </c>
      <c r="L14" s="43">
        <f t="shared" si="0"/>
        <v>0.666666666666667</v>
      </c>
      <c r="M14" s="44">
        <f t="shared" si="1"/>
        <v>-3</v>
      </c>
      <c r="N14" s="41">
        <v>0</v>
      </c>
      <c r="O14" s="41"/>
      <c r="P14" s="44"/>
    </row>
    <row r="15" customHeight="1" spans="1:16">
      <c r="A15" s="37" t="s">
        <v>85</v>
      </c>
      <c r="B15" s="29"/>
      <c r="C15" s="29"/>
      <c r="D15" s="29"/>
      <c r="F15" s="29"/>
      <c r="G15" s="29"/>
      <c r="H15" s="29"/>
      <c r="I15" s="29"/>
      <c r="J15" s="46"/>
      <c r="K15" s="41">
        <v>5.5</v>
      </c>
      <c r="L15" s="43">
        <f t="shared" si="0"/>
        <v>0.5</v>
      </c>
      <c r="M15" s="44">
        <f t="shared" si="1"/>
        <v>-4.5</v>
      </c>
      <c r="N15" s="41">
        <v>0</v>
      </c>
      <c r="O15" s="41"/>
      <c r="P15" s="44"/>
    </row>
    <row r="16" customHeight="1" spans="1:16">
      <c r="A16" s="30"/>
      <c r="B16" s="30"/>
      <c r="C16" s="30"/>
      <c r="D16" s="30"/>
      <c r="E16" s="30"/>
      <c r="F16" s="30"/>
      <c r="G16" s="30"/>
      <c r="H16" s="31"/>
      <c r="I16" s="45"/>
      <c r="J16" s="46"/>
      <c r="K16" s="41">
        <v>6</v>
      </c>
      <c r="L16" s="43">
        <f t="shared" si="0"/>
        <v>0.333333333333333</v>
      </c>
      <c r="M16" s="44">
        <f t="shared" si="1"/>
        <v>-6</v>
      </c>
      <c r="N16" s="41">
        <v>0</v>
      </c>
      <c r="O16" s="41"/>
      <c r="P16" s="44"/>
    </row>
    <row r="17" customHeight="1" spans="1:16">
      <c r="A17" s="30"/>
      <c r="B17" s="32"/>
      <c r="C17" s="32"/>
      <c r="D17" s="32"/>
      <c r="E17" s="32"/>
      <c r="F17" s="32"/>
      <c r="G17" s="32"/>
      <c r="H17" s="33"/>
      <c r="I17" s="45"/>
      <c r="J17" s="46"/>
      <c r="K17" s="41">
        <v>6.5</v>
      </c>
      <c r="L17" s="43">
        <f t="shared" si="0"/>
        <v>0.166666666666667</v>
      </c>
      <c r="M17" s="44">
        <f t="shared" si="1"/>
        <v>-7.5</v>
      </c>
      <c r="N17" s="41">
        <v>0</v>
      </c>
      <c r="O17" s="41"/>
      <c r="P17" s="44"/>
    </row>
    <row r="18" customHeight="1" spans="1:16">
      <c r="A18" s="35"/>
      <c r="B18" s="36"/>
      <c r="C18" s="36"/>
      <c r="D18" s="36"/>
      <c r="E18" s="36"/>
      <c r="F18" s="36"/>
      <c r="G18" s="36"/>
      <c r="H18" s="33"/>
      <c r="I18" s="45"/>
      <c r="J18" s="46"/>
      <c r="K18" s="41">
        <v>7</v>
      </c>
      <c r="L18" s="43">
        <f t="shared" si="0"/>
        <v>0</v>
      </c>
      <c r="M18" s="44">
        <f t="shared" si="1"/>
        <v>-9</v>
      </c>
      <c r="N18" s="41">
        <v>0</v>
      </c>
      <c r="O18" s="41" t="s">
        <v>84</v>
      </c>
      <c r="P18" s="44"/>
    </row>
    <row r="19" customHeight="1" spans="1:9">
      <c r="A19" s="30"/>
      <c r="B19" s="32"/>
      <c r="C19" s="32"/>
      <c r="D19" s="32"/>
      <c r="E19" s="32"/>
      <c r="F19" s="32"/>
      <c r="G19" s="32"/>
      <c r="H19" s="31"/>
      <c r="I19" s="45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47"/>
  <sheetViews>
    <sheetView workbookViewId="0">
      <selection activeCell="A1" sqref="A1"/>
    </sheetView>
  </sheetViews>
  <sheetFormatPr defaultColWidth="12.6296296296296" defaultRowHeight="15.75" customHeight="1"/>
  <cols>
    <col min="1" max="11" width="7.62962962962963" customWidth="1"/>
    <col min="12" max="20" width="6.37962962962963" customWidth="1"/>
  </cols>
  <sheetData>
    <row r="1" customHeight="1" spans="1:1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customHeight="1" spans="1:1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customHeight="1" spans="1:1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customHeight="1" spans="1:12">
      <c r="A4" s="1" t="s">
        <v>86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customHeight="1" spans="1:17">
      <c r="A5" s="5"/>
      <c r="B5" s="1" t="s">
        <v>87</v>
      </c>
      <c r="C5" s="5"/>
      <c r="D5" s="5"/>
      <c r="E5" s="1" t="s">
        <v>88</v>
      </c>
      <c r="F5" s="5"/>
      <c r="G5" s="5"/>
      <c r="H5" s="5"/>
      <c r="I5" s="5"/>
      <c r="J5" s="1" t="s">
        <v>89</v>
      </c>
      <c r="K5" s="5"/>
      <c r="L5" s="5"/>
      <c r="Q5" s="1" t="s">
        <v>90</v>
      </c>
    </row>
    <row r="6" customHeight="1" spans="1:1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customHeight="1" spans="1:20">
      <c r="A7" s="1" t="s">
        <v>91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5"/>
      <c r="L7" s="1">
        <v>1</v>
      </c>
      <c r="M7" s="1">
        <v>2</v>
      </c>
      <c r="N7" s="1">
        <v>3</v>
      </c>
      <c r="O7" s="1">
        <v>4</v>
      </c>
      <c r="P7" s="1">
        <v>5</v>
      </c>
      <c r="Q7" s="1">
        <v>6</v>
      </c>
      <c r="R7" s="1">
        <v>7</v>
      </c>
      <c r="S7" s="1">
        <v>8</v>
      </c>
      <c r="T7" s="1">
        <v>9</v>
      </c>
    </row>
    <row r="8" customHeight="1" spans="1:20">
      <c r="A8" s="5"/>
      <c r="B8" s="1" t="s">
        <v>92</v>
      </c>
      <c r="C8" s="5"/>
      <c r="D8" s="5"/>
      <c r="E8" s="5"/>
      <c r="F8" s="1" t="s">
        <v>93</v>
      </c>
      <c r="G8" s="5"/>
      <c r="H8" s="5"/>
      <c r="I8" s="5"/>
      <c r="J8" s="1" t="s">
        <v>94</v>
      </c>
      <c r="K8" s="5"/>
      <c r="L8" s="1" t="s">
        <v>92</v>
      </c>
      <c r="M8" s="5"/>
      <c r="N8" s="5"/>
      <c r="O8" s="5"/>
      <c r="P8" s="1" t="s">
        <v>93</v>
      </c>
      <c r="Q8" s="5"/>
      <c r="R8" s="5"/>
      <c r="S8" s="5"/>
      <c r="T8" s="1" t="s">
        <v>94</v>
      </c>
    </row>
    <row r="9" customHeight="1" spans="1:20">
      <c r="A9" s="5"/>
      <c r="B9" s="5"/>
      <c r="C9" s="5"/>
      <c r="D9" s="5"/>
      <c r="E9" s="5"/>
      <c r="F9" s="5"/>
      <c r="G9" s="1" t="s">
        <v>92</v>
      </c>
      <c r="H9" s="1" t="s">
        <v>93</v>
      </c>
      <c r="I9" s="5"/>
      <c r="J9" s="1" t="s">
        <v>94</v>
      </c>
      <c r="K9" s="5"/>
      <c r="L9" s="5"/>
      <c r="M9" s="5"/>
      <c r="N9" s="5"/>
      <c r="O9" s="5"/>
      <c r="P9" s="5"/>
      <c r="Q9" s="1" t="s">
        <v>92</v>
      </c>
      <c r="R9" s="1" t="s">
        <v>93</v>
      </c>
      <c r="S9" s="5"/>
      <c r="T9" s="1" t="s">
        <v>94</v>
      </c>
    </row>
    <row r="10" customHeight="1" spans="1:20">
      <c r="A10" s="5"/>
      <c r="B10" s="5"/>
      <c r="C10" s="5"/>
      <c r="D10" s="5"/>
      <c r="E10" s="5"/>
      <c r="F10" s="5"/>
      <c r="G10" s="1" t="s">
        <v>95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1" t="s">
        <v>96</v>
      </c>
      <c r="T10" s="1" t="s">
        <v>94</v>
      </c>
    </row>
    <row r="11" customHeight="1" spans="1:20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1" t="s">
        <v>97</v>
      </c>
    </row>
    <row r="12" customHeight="1" spans="1:21">
      <c r="A12" s="5"/>
      <c r="B12" s="1" t="s">
        <v>98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1" t="s">
        <v>94</v>
      </c>
      <c r="U12" s="1" t="s">
        <v>92</v>
      </c>
    </row>
    <row r="13" customHeight="1" spans="1:20">
      <c r="A13" s="5"/>
      <c r="B13" s="1" t="s">
        <v>99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customHeight="1" spans="1:20">
      <c r="A14" s="5"/>
      <c r="B14" s="1" t="s">
        <v>100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customHeight="1" spans="1:20">
      <c r="A15" s="5"/>
      <c r="B15" s="1" t="s">
        <v>101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customHeight="1" spans="1:20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customHeight="1" spans="1:20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customHeight="1" spans="1:20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customHeight="1" spans="1:1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customHeight="1" spans="1:12">
      <c r="A20" s="5"/>
      <c r="B20" s="1" t="s">
        <v>102</v>
      </c>
      <c r="C20" s="5"/>
      <c r="D20" s="1" t="s">
        <v>103</v>
      </c>
      <c r="F20" s="1" t="s">
        <v>98</v>
      </c>
      <c r="G20" s="5"/>
      <c r="H20" s="1" t="s">
        <v>104</v>
      </c>
      <c r="I20" s="5"/>
      <c r="J20" s="5"/>
      <c r="K20" s="5"/>
      <c r="L20" s="5"/>
    </row>
    <row r="21" customHeight="1" spans="1:12">
      <c r="A21" s="5"/>
      <c r="B21" s="1"/>
      <c r="C21" s="5"/>
      <c r="D21" s="1"/>
      <c r="F21" s="1"/>
      <c r="G21" s="5"/>
      <c r="H21" s="1"/>
      <c r="I21" s="5"/>
      <c r="J21" s="5"/>
      <c r="K21" s="5"/>
      <c r="L21" s="5"/>
    </row>
    <row r="22" customHeight="1" spans="1:12">
      <c r="A22" s="5"/>
      <c r="B22" s="1" t="s">
        <v>105</v>
      </c>
      <c r="D22" s="1" t="s">
        <v>106</v>
      </c>
      <c r="F22" s="1" t="s">
        <v>98</v>
      </c>
      <c r="G22" s="5"/>
      <c r="H22" s="1" t="s">
        <v>104</v>
      </c>
      <c r="I22" s="5"/>
      <c r="J22" s="5"/>
      <c r="K22" s="5"/>
      <c r="L22" s="5"/>
    </row>
    <row r="23" customHeight="1" spans="1:12">
      <c r="A23" s="5"/>
      <c r="B23" s="1"/>
      <c r="C23" s="5"/>
      <c r="D23" s="1"/>
      <c r="F23" s="1"/>
      <c r="G23" s="5"/>
      <c r="H23" s="1"/>
      <c r="I23" s="5"/>
      <c r="J23" s="5"/>
      <c r="K23" s="5"/>
      <c r="L23" s="5"/>
    </row>
    <row r="24" customHeight="1" spans="2:8">
      <c r="B24" s="1" t="s">
        <v>102</v>
      </c>
      <c r="D24" s="1" t="s">
        <v>106</v>
      </c>
      <c r="F24" s="1" t="s">
        <v>98</v>
      </c>
      <c r="G24" s="5"/>
      <c r="H24" s="1" t="s">
        <v>104</v>
      </c>
    </row>
    <row r="25" customHeight="1" spans="2:21">
      <c r="B25" s="1"/>
      <c r="C25" s="5"/>
      <c r="D25" s="1"/>
      <c r="F25" s="1"/>
      <c r="G25" s="5"/>
      <c r="H25" s="1"/>
      <c r="S25" s="1" t="s">
        <v>107</v>
      </c>
      <c r="T25" s="5"/>
      <c r="U25" s="5"/>
    </row>
    <row r="26" customHeight="1" spans="2:21">
      <c r="B26" s="1" t="s">
        <v>102</v>
      </c>
      <c r="C26" s="5"/>
      <c r="D26" s="1" t="s">
        <v>108</v>
      </c>
      <c r="F26" s="1" t="s">
        <v>98</v>
      </c>
      <c r="G26" s="5"/>
      <c r="H26" s="1" t="s">
        <v>104</v>
      </c>
      <c r="S26" s="5"/>
      <c r="T26" s="5"/>
      <c r="U26" s="5"/>
    </row>
    <row r="27" customHeight="1" spans="2:21">
      <c r="B27" s="1"/>
      <c r="C27" s="5"/>
      <c r="D27" s="1"/>
      <c r="F27" s="1"/>
      <c r="G27" s="5"/>
      <c r="H27" s="1"/>
      <c r="S27" s="5"/>
      <c r="T27" s="5"/>
      <c r="U27" s="5"/>
    </row>
    <row r="28" customHeight="1" spans="2:21">
      <c r="B28" s="1" t="s">
        <v>109</v>
      </c>
      <c r="C28" s="5"/>
      <c r="D28" s="1" t="s">
        <v>108</v>
      </c>
      <c r="F28" s="1" t="s">
        <v>98</v>
      </c>
      <c r="G28" s="5"/>
      <c r="H28" s="1" t="s">
        <v>104</v>
      </c>
      <c r="S28" s="5"/>
      <c r="T28" s="5"/>
      <c r="U28" s="5"/>
    </row>
    <row r="29" customHeight="1" spans="2:21">
      <c r="B29" s="1"/>
      <c r="C29" s="5"/>
      <c r="D29" s="1"/>
      <c r="F29" s="1"/>
      <c r="G29" s="5"/>
      <c r="H29" s="1"/>
      <c r="S29" s="5"/>
      <c r="T29" s="5"/>
      <c r="U29" s="5"/>
    </row>
    <row r="30" customHeight="1" spans="2:24">
      <c r="B30" s="1" t="s">
        <v>109</v>
      </c>
      <c r="C30" s="5"/>
      <c r="D30" s="1" t="s">
        <v>103</v>
      </c>
      <c r="F30" s="1" t="s">
        <v>98</v>
      </c>
      <c r="G30" s="5"/>
      <c r="H30" s="1" t="s">
        <v>104</v>
      </c>
      <c r="S30" s="1" t="s">
        <v>110</v>
      </c>
      <c r="T30" s="5"/>
      <c r="U30" s="5"/>
      <c r="V30" s="1" t="s">
        <v>111</v>
      </c>
      <c r="W30" s="1" t="s">
        <v>112</v>
      </c>
      <c r="X30" s="5"/>
    </row>
    <row r="31" customHeight="1" spans="19:24">
      <c r="S31" s="1" t="s">
        <v>113</v>
      </c>
      <c r="T31" s="5"/>
      <c r="U31" s="5"/>
      <c r="V31" s="5"/>
      <c r="W31" s="1" t="s">
        <v>114</v>
      </c>
      <c r="X31" s="5"/>
    </row>
    <row r="32" customHeight="1" spans="2:24">
      <c r="B32" s="1" t="s">
        <v>115</v>
      </c>
      <c r="C32" s="27"/>
      <c r="D32" s="20" t="s">
        <v>116</v>
      </c>
      <c r="E32" s="27"/>
      <c r="F32" s="20" t="s">
        <v>98</v>
      </c>
      <c r="G32" s="27"/>
      <c r="H32" s="20" t="s">
        <v>117</v>
      </c>
      <c r="S32" s="1" t="s">
        <v>118</v>
      </c>
      <c r="T32" s="5"/>
      <c r="U32" s="5"/>
      <c r="V32" s="5"/>
      <c r="W32" s="1" t="s">
        <v>119</v>
      </c>
      <c r="X32" s="5"/>
    </row>
    <row r="33" customHeight="1" spans="23:23">
      <c r="W33" s="62" t="s">
        <v>120</v>
      </c>
    </row>
    <row r="34" customHeight="1" spans="2:23">
      <c r="B34" s="1" t="s">
        <v>121</v>
      </c>
      <c r="D34" s="1" t="s">
        <v>103</v>
      </c>
      <c r="F34" s="1" t="s">
        <v>98</v>
      </c>
      <c r="G34" s="5"/>
      <c r="H34" s="1" t="s">
        <v>104</v>
      </c>
      <c r="L34" s="1" t="s">
        <v>122</v>
      </c>
      <c r="W34" s="62" t="s">
        <v>123</v>
      </c>
    </row>
    <row r="35" customHeight="1" spans="23:23">
      <c r="W35" s="1"/>
    </row>
    <row r="36" customHeight="1" spans="2:23">
      <c r="B36" s="1" t="s">
        <v>124</v>
      </c>
      <c r="D36" s="1" t="s">
        <v>106</v>
      </c>
      <c r="F36" s="1" t="s">
        <v>98</v>
      </c>
      <c r="G36" s="5"/>
      <c r="H36" s="1" t="s">
        <v>104</v>
      </c>
      <c r="L36" s="1" t="s">
        <v>122</v>
      </c>
      <c r="W36" s="1"/>
    </row>
    <row r="43" customHeight="1" spans="2:2">
      <c r="B43" s="1" t="s">
        <v>125</v>
      </c>
    </row>
    <row r="45" customHeight="1" spans="2:2">
      <c r="B45" s="1" t="s">
        <v>126</v>
      </c>
    </row>
    <row r="47" customHeight="1" spans="2:2">
      <c r="B47" s="1" t="s">
        <v>127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52"/>
  <sheetViews>
    <sheetView zoomScale="11" zoomScaleNormal="11" topLeftCell="A154" workbookViewId="0">
      <selection activeCell="Q105" sqref="Q105"/>
    </sheetView>
  </sheetViews>
  <sheetFormatPr defaultColWidth="12.6296296296296" defaultRowHeight="15.75" customHeight="1"/>
  <cols>
    <col min="9" max="9" width="15.6296296296296" customWidth="1"/>
    <col min="20" max="20" width="16" customWidth="1"/>
    <col min="26" max="26" width="41.25" customWidth="1"/>
  </cols>
  <sheetData>
    <row r="1" customHeight="1" spans="1:2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 t="s">
        <v>128</v>
      </c>
      <c r="X1" s="5"/>
      <c r="Y1" s="5"/>
      <c r="Z1" s="5"/>
    </row>
    <row r="2" customHeight="1" spans="1:26">
      <c r="A2" s="5"/>
      <c r="B2" s="7" t="s">
        <v>128</v>
      </c>
      <c r="C2" s="5"/>
      <c r="D2" s="7" t="s">
        <v>128</v>
      </c>
      <c r="E2" s="7"/>
      <c r="F2" s="5"/>
      <c r="G2" s="5"/>
      <c r="H2" s="7" t="s">
        <v>128</v>
      </c>
      <c r="I2" s="5"/>
      <c r="J2" s="5"/>
      <c r="K2" s="5"/>
      <c r="L2" s="5"/>
      <c r="M2" s="5"/>
      <c r="N2" s="7" t="s">
        <v>103</v>
      </c>
      <c r="O2" s="5"/>
      <c r="P2" s="5"/>
      <c r="Q2" s="5"/>
      <c r="R2" s="5"/>
      <c r="S2" s="7" t="s">
        <v>103</v>
      </c>
      <c r="T2" s="5"/>
      <c r="U2" s="5"/>
      <c r="V2" s="5"/>
      <c r="W2" s="7" t="s">
        <v>129</v>
      </c>
      <c r="X2" s="5"/>
      <c r="Y2" s="1" t="s">
        <v>130</v>
      </c>
      <c r="Z2" s="5"/>
    </row>
    <row r="3" customHeight="1" spans="1:26">
      <c r="A3" s="5"/>
      <c r="B3" s="5"/>
      <c r="C3" s="5"/>
      <c r="D3" s="5"/>
      <c r="E3" s="5"/>
      <c r="F3" s="5"/>
      <c r="G3" s="5"/>
      <c r="H3" s="7" t="s">
        <v>131</v>
      </c>
      <c r="I3" s="5"/>
      <c r="J3" s="1" t="s">
        <v>132</v>
      </c>
      <c r="K3" s="5"/>
      <c r="L3" s="5"/>
      <c r="M3" s="5"/>
      <c r="N3" s="1" t="s">
        <v>133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Height="1" spans="1:26">
      <c r="A4" s="5"/>
      <c r="B4" s="1" t="s">
        <v>134</v>
      </c>
      <c r="C4" s="5"/>
      <c r="D4" s="1" t="s">
        <v>134</v>
      </c>
      <c r="E4" s="1"/>
      <c r="F4" s="5"/>
      <c r="G4" s="5"/>
      <c r="H4" s="1" t="s">
        <v>134</v>
      </c>
      <c r="I4" s="5"/>
      <c r="J4" s="5"/>
      <c r="K4" s="5"/>
      <c r="L4" s="5"/>
      <c r="M4" s="5"/>
      <c r="N4" s="5"/>
      <c r="O4" s="7" t="s">
        <v>135</v>
      </c>
      <c r="P4" s="5"/>
      <c r="Q4" s="5"/>
      <c r="R4" s="5"/>
      <c r="S4" s="1" t="s">
        <v>136</v>
      </c>
      <c r="T4" s="5"/>
      <c r="U4" s="5"/>
      <c r="V4" s="5"/>
      <c r="W4" s="1" t="s">
        <v>134</v>
      </c>
      <c r="X4" s="5"/>
      <c r="Y4" s="5"/>
      <c r="Z4" s="5"/>
    </row>
    <row r="5" customHeight="1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1" t="s">
        <v>137</v>
      </c>
      <c r="P5" s="5"/>
      <c r="Q5" s="5"/>
      <c r="R5" s="5"/>
      <c r="S5" s="5"/>
      <c r="T5" s="7" t="s">
        <v>138</v>
      </c>
      <c r="U5" s="5"/>
      <c r="V5" s="5"/>
      <c r="W5" s="5"/>
      <c r="X5" s="5"/>
      <c r="Y5" s="5"/>
      <c r="Z5" s="5"/>
    </row>
    <row r="6" customHeight="1" spans="1:26">
      <c r="A6" s="5"/>
      <c r="B6" s="7" t="s">
        <v>139</v>
      </c>
      <c r="C6" s="5"/>
      <c r="D6" s="1" t="s">
        <v>140</v>
      </c>
      <c r="E6" s="7"/>
      <c r="F6" s="5"/>
      <c r="G6" s="5"/>
      <c r="H6" s="7" t="s">
        <v>139</v>
      </c>
      <c r="I6" s="5"/>
      <c r="J6" s="5"/>
      <c r="K6" s="5"/>
      <c r="L6" s="5"/>
      <c r="M6" s="5"/>
      <c r="N6" s="5"/>
      <c r="O6" s="7" t="s">
        <v>135</v>
      </c>
      <c r="P6" s="5"/>
      <c r="Q6" s="5"/>
      <c r="R6" s="5"/>
      <c r="S6" s="5"/>
      <c r="T6" s="1" t="s">
        <v>141</v>
      </c>
      <c r="U6" s="5"/>
      <c r="V6" s="5"/>
      <c r="W6" s="6" t="s">
        <v>139</v>
      </c>
      <c r="X6" s="5"/>
      <c r="Y6" s="5"/>
      <c r="Z6" s="5"/>
    </row>
    <row r="7" customHeight="1" spans="1:26">
      <c r="A7" s="5"/>
      <c r="B7" s="5"/>
      <c r="C7" s="5"/>
      <c r="D7" s="7" t="s">
        <v>142</v>
      </c>
      <c r="E7" s="5"/>
      <c r="F7" s="5"/>
      <c r="G7" s="5"/>
      <c r="H7" s="5"/>
      <c r="I7" s="5"/>
      <c r="J7" s="5"/>
      <c r="K7" s="5"/>
      <c r="L7" s="5"/>
      <c r="M7" s="5"/>
      <c r="N7" s="1" t="s">
        <v>143</v>
      </c>
      <c r="O7" s="5"/>
      <c r="P7" s="5"/>
      <c r="Q7" s="5"/>
      <c r="R7" s="5"/>
      <c r="S7" s="5"/>
      <c r="T7" s="7" t="s">
        <v>103</v>
      </c>
      <c r="U7" s="5"/>
      <c r="V7" s="5"/>
      <c r="W7" s="7" t="s">
        <v>144</v>
      </c>
      <c r="X7" s="5"/>
      <c r="Y7" s="1" t="s">
        <v>130</v>
      </c>
      <c r="Z7" s="5"/>
    </row>
    <row r="8" customHeight="1" spans="1:26">
      <c r="A8" s="5"/>
      <c r="B8" s="1" t="s">
        <v>140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7" t="s">
        <v>135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Height="1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1" t="s">
        <v>145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Height="1" spans="1:26">
      <c r="A10" s="5"/>
      <c r="B10" s="7" t="s">
        <v>142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7" t="s">
        <v>135</v>
      </c>
      <c r="P10" s="5"/>
      <c r="Q10" s="5"/>
      <c r="R10" s="5"/>
      <c r="S10" s="7" t="s">
        <v>146</v>
      </c>
      <c r="T10" s="5"/>
      <c r="U10" s="5"/>
      <c r="V10" s="5"/>
      <c r="W10" s="5"/>
      <c r="X10" s="5"/>
      <c r="Y10" s="5"/>
      <c r="Z10" s="5"/>
    </row>
    <row r="11" customHeight="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Height="1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7" t="s">
        <v>147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Height="1" spans="1:26">
      <c r="A13" s="5"/>
      <c r="B13" s="5"/>
      <c r="C13" s="1" t="s">
        <v>148</v>
      </c>
      <c r="D13" s="5"/>
      <c r="E13" s="5"/>
      <c r="F13" s="5"/>
      <c r="G13" s="5"/>
      <c r="H13" s="1" t="s">
        <v>132</v>
      </c>
      <c r="I13" s="5"/>
      <c r="J13" s="5"/>
      <c r="K13" s="5"/>
      <c r="L13" s="5"/>
      <c r="M13" s="5"/>
      <c r="N13" s="1" t="s">
        <v>149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Height="1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Height="1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Height="1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6" t="s">
        <v>103</v>
      </c>
      <c r="L16" s="5"/>
      <c r="M16" s="5"/>
      <c r="N16" s="5"/>
      <c r="O16" s="5"/>
      <c r="P16" s="5"/>
      <c r="Q16" s="5"/>
      <c r="R16" s="5"/>
      <c r="S16" s="5"/>
      <c r="T16" s="6" t="s">
        <v>103</v>
      </c>
      <c r="U16" s="5"/>
      <c r="V16" s="5"/>
      <c r="W16" s="5"/>
      <c r="X16" s="5"/>
      <c r="Y16" s="5"/>
      <c r="Z16" s="5"/>
    </row>
    <row r="17" customHeight="1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7" t="s">
        <v>150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Height="1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1" t="s">
        <v>151</v>
      </c>
      <c r="L18" s="5"/>
      <c r="M18" s="5"/>
      <c r="N18" s="5"/>
      <c r="O18" s="5"/>
      <c r="P18" s="5"/>
      <c r="Q18" s="5"/>
      <c r="R18" s="5"/>
      <c r="S18" s="5"/>
      <c r="T18" s="1" t="s">
        <v>152</v>
      </c>
      <c r="U18" s="5"/>
      <c r="V18" s="5"/>
      <c r="W18" s="5"/>
      <c r="X18" s="5"/>
      <c r="Y18" s="5"/>
      <c r="Z18" s="5"/>
    </row>
    <row r="19" customHeight="1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7" t="s">
        <v>150</v>
      </c>
      <c r="L19" s="5"/>
      <c r="M19" s="5"/>
      <c r="N19" s="5"/>
      <c r="O19" s="5"/>
      <c r="P19" s="5"/>
      <c r="Q19" s="5"/>
      <c r="R19" s="5"/>
      <c r="S19" s="5"/>
      <c r="T19" s="5"/>
      <c r="U19" s="7" t="s">
        <v>153</v>
      </c>
      <c r="V19" s="5"/>
      <c r="W19" s="5"/>
      <c r="X19" s="1" t="s">
        <v>149</v>
      </c>
      <c r="Y19" s="5"/>
      <c r="Z19" s="5"/>
    </row>
    <row r="20" customHeight="1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1" t="s">
        <v>154</v>
      </c>
      <c r="L20" s="5"/>
      <c r="M20" s="5"/>
      <c r="N20" s="5"/>
      <c r="O20" s="5"/>
      <c r="P20" s="5"/>
      <c r="Q20" s="5"/>
      <c r="R20" s="5"/>
      <c r="S20" s="5"/>
      <c r="T20" s="5"/>
      <c r="U20" s="7" t="s">
        <v>155</v>
      </c>
      <c r="V20" s="5"/>
      <c r="W20" s="5"/>
      <c r="X20" s="1" t="s">
        <v>156</v>
      </c>
      <c r="Y20" s="5"/>
      <c r="Z20" s="5"/>
    </row>
    <row r="21" customHeight="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7" t="s">
        <v>157</v>
      </c>
      <c r="L21" s="5"/>
      <c r="M21" s="5"/>
      <c r="N21" s="5"/>
      <c r="O21" s="5"/>
      <c r="P21" s="5"/>
      <c r="Q21" s="5"/>
      <c r="R21" s="5"/>
      <c r="S21" s="5"/>
      <c r="T21" s="5"/>
      <c r="U21" s="1" t="s">
        <v>158</v>
      </c>
      <c r="V21" s="5"/>
      <c r="W21" s="5"/>
      <c r="X21" s="5"/>
      <c r="Y21" s="5"/>
      <c r="Z21" s="5"/>
    </row>
    <row r="22" customHeight="1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7" t="s">
        <v>159</v>
      </c>
      <c r="V22" s="5"/>
      <c r="W22" s="5"/>
      <c r="X22" s="1" t="s">
        <v>160</v>
      </c>
      <c r="Y22" s="5"/>
      <c r="Z22" s="5"/>
    </row>
    <row r="23" customHeight="1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1" t="s">
        <v>161</v>
      </c>
      <c r="L23" s="5"/>
      <c r="M23" s="1" t="s">
        <v>162</v>
      </c>
      <c r="N23" s="5"/>
      <c r="O23" s="5"/>
      <c r="P23" s="5"/>
      <c r="Q23" s="5"/>
      <c r="R23" s="5"/>
      <c r="S23" s="5"/>
      <c r="T23" s="1" t="s">
        <v>163</v>
      </c>
      <c r="U23" s="5"/>
      <c r="V23" s="5"/>
      <c r="W23" s="5"/>
      <c r="X23" s="5"/>
      <c r="Y23" s="5"/>
      <c r="Z23" s="5"/>
    </row>
    <row r="24" customHeight="1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7" t="s">
        <v>164</v>
      </c>
      <c r="M24" s="5"/>
      <c r="N24" s="5"/>
      <c r="O24" s="1" t="s">
        <v>165</v>
      </c>
      <c r="P24" s="5"/>
      <c r="Q24" s="5"/>
      <c r="R24" s="5"/>
      <c r="S24" s="5"/>
      <c r="T24" s="5"/>
      <c r="U24" s="7" t="s">
        <v>166</v>
      </c>
      <c r="V24" s="5"/>
      <c r="W24" s="5"/>
      <c r="X24" s="1" t="s">
        <v>149</v>
      </c>
      <c r="Y24" s="5"/>
      <c r="Z24" s="5"/>
    </row>
    <row r="25" customHeight="1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7" t="s">
        <v>167</v>
      </c>
      <c r="M25" s="5"/>
      <c r="N25" s="5"/>
      <c r="O25" s="1"/>
      <c r="P25" s="5"/>
      <c r="Q25" s="5"/>
      <c r="R25" s="5"/>
      <c r="S25" s="5"/>
      <c r="T25" s="5"/>
      <c r="U25" s="7" t="s">
        <v>168</v>
      </c>
      <c r="V25" s="5"/>
      <c r="W25" s="5"/>
      <c r="X25" s="1" t="s">
        <v>156</v>
      </c>
      <c r="Y25" s="5"/>
      <c r="Z25" s="5"/>
    </row>
    <row r="26" customHeight="1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1" t="s">
        <v>169</v>
      </c>
      <c r="M26" s="5"/>
      <c r="N26" s="5"/>
      <c r="O26" s="5"/>
      <c r="P26" s="5"/>
      <c r="Q26" s="5"/>
      <c r="R26" s="5"/>
      <c r="S26" s="5"/>
      <c r="T26" s="5"/>
      <c r="U26" s="1" t="s">
        <v>170</v>
      </c>
      <c r="V26" s="5"/>
      <c r="W26" s="5"/>
      <c r="X26" s="5"/>
      <c r="Y26" s="5"/>
      <c r="Z26" s="5"/>
    </row>
    <row r="27" customHeight="1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7" t="s">
        <v>171</v>
      </c>
      <c r="M27" s="5"/>
      <c r="N27" s="5"/>
      <c r="O27" s="5"/>
      <c r="P27" s="5"/>
      <c r="Q27" s="5"/>
      <c r="R27" s="5"/>
      <c r="S27" s="5"/>
      <c r="T27" s="5"/>
      <c r="U27" s="7" t="s">
        <v>159</v>
      </c>
      <c r="V27" s="5"/>
      <c r="W27" s="5"/>
      <c r="X27" s="1" t="s">
        <v>160</v>
      </c>
      <c r="Y27" s="5"/>
      <c r="Z27" s="5"/>
    </row>
    <row r="28" customHeight="1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1" t="s">
        <v>172</v>
      </c>
      <c r="M28" s="5"/>
      <c r="N28" s="5"/>
      <c r="O28" s="5"/>
      <c r="P28" s="5"/>
      <c r="Q28" s="5"/>
      <c r="R28" s="5"/>
      <c r="S28" s="5"/>
      <c r="T28" s="1" t="s">
        <v>173</v>
      </c>
      <c r="U28" s="5"/>
      <c r="V28" s="5"/>
      <c r="W28" s="5"/>
      <c r="X28" s="5"/>
      <c r="Y28" s="5"/>
      <c r="Z28" s="5"/>
    </row>
    <row r="29" customHeight="1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1"/>
      <c r="L29" s="7" t="s">
        <v>157</v>
      </c>
      <c r="M29" s="5"/>
      <c r="N29" s="5"/>
      <c r="O29" s="5"/>
      <c r="P29" s="5"/>
      <c r="Q29" s="5"/>
      <c r="R29" s="5"/>
      <c r="S29" s="5"/>
      <c r="T29" s="6" t="s">
        <v>159</v>
      </c>
      <c r="U29" s="5"/>
      <c r="V29" s="5"/>
      <c r="W29" s="5"/>
      <c r="X29" s="1" t="s">
        <v>149</v>
      </c>
      <c r="Y29" s="5"/>
      <c r="Z29" s="5"/>
    </row>
    <row r="30" customHeight="1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1" t="s">
        <v>173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Height="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7" t="s">
        <v>174</v>
      </c>
      <c r="L31" s="5"/>
      <c r="M31" s="5"/>
      <c r="N31" s="5"/>
      <c r="O31" s="1" t="s">
        <v>165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Height="1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6" t="s">
        <v>104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Height="1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Height="1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Height="1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Height="1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Height="1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Height="1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Height="1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6" t="s">
        <v>103</v>
      </c>
      <c r="L39" s="5"/>
      <c r="M39" s="5"/>
      <c r="N39" s="5"/>
      <c r="O39" s="5"/>
      <c r="P39" s="5"/>
      <c r="Q39" s="6" t="s">
        <v>103</v>
      </c>
      <c r="R39" s="5"/>
      <c r="S39" s="5"/>
      <c r="T39" s="5"/>
      <c r="U39" s="5"/>
      <c r="V39" s="5"/>
      <c r="W39" s="5"/>
      <c r="X39" s="5"/>
      <c r="Y39" s="5"/>
      <c r="Z39" s="5"/>
    </row>
    <row r="40" customHeight="1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Height="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Height="1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1" t="s">
        <v>175</v>
      </c>
      <c r="L42" s="5"/>
      <c r="M42" s="1" t="s">
        <v>162</v>
      </c>
      <c r="N42" s="5"/>
      <c r="O42" s="5"/>
      <c r="P42" s="5"/>
      <c r="Q42" s="1" t="s">
        <v>175</v>
      </c>
      <c r="R42" s="5"/>
      <c r="S42" s="1" t="s">
        <v>162</v>
      </c>
      <c r="T42" s="5"/>
      <c r="U42" s="5"/>
      <c r="V42" s="5"/>
      <c r="W42" s="5"/>
      <c r="X42" s="5"/>
      <c r="Y42" s="5"/>
      <c r="Z42" s="5"/>
    </row>
    <row r="43" customHeight="1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7" t="s">
        <v>176</v>
      </c>
      <c r="M43" s="5"/>
      <c r="N43" s="5"/>
      <c r="O43" s="5"/>
      <c r="P43" s="5"/>
      <c r="Q43" s="5"/>
      <c r="R43" s="7" t="s">
        <v>176</v>
      </c>
      <c r="S43" s="5"/>
      <c r="T43" s="5"/>
      <c r="U43" s="5"/>
      <c r="V43" s="5"/>
      <c r="W43" s="5"/>
      <c r="X43" s="5"/>
      <c r="Y43" s="5"/>
      <c r="Z43" s="5"/>
    </row>
    <row r="44" customHeight="1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1" t="s">
        <v>177</v>
      </c>
      <c r="M44" s="5"/>
      <c r="N44" s="5"/>
      <c r="O44" s="5"/>
      <c r="P44" s="5"/>
      <c r="Q44" s="5"/>
      <c r="R44" s="1" t="s">
        <v>177</v>
      </c>
      <c r="S44" s="5"/>
      <c r="T44" s="5"/>
      <c r="U44" s="5"/>
      <c r="V44" s="5"/>
      <c r="W44" s="5"/>
      <c r="X44" s="5"/>
      <c r="Y44" s="5"/>
      <c r="Z44" s="5"/>
    </row>
    <row r="45" customHeight="1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7" t="s">
        <v>178</v>
      </c>
      <c r="N45" s="5"/>
      <c r="O45" s="5"/>
      <c r="P45" s="5"/>
      <c r="Q45" s="5"/>
      <c r="R45" s="5"/>
      <c r="S45" s="7" t="s">
        <v>179</v>
      </c>
      <c r="T45" s="5"/>
      <c r="U45" s="5"/>
      <c r="V45" s="5"/>
      <c r="W45" s="5"/>
      <c r="X45" s="5"/>
      <c r="Y45" s="5"/>
      <c r="Z45" s="5"/>
    </row>
    <row r="46" customHeight="1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7" t="s">
        <v>180</v>
      </c>
      <c r="N46" s="5"/>
      <c r="O46" s="5"/>
      <c r="P46" s="5"/>
      <c r="Q46" s="5"/>
      <c r="R46" s="5"/>
      <c r="S46" s="7" t="s">
        <v>181</v>
      </c>
      <c r="T46" s="5"/>
      <c r="U46" s="5"/>
      <c r="V46" s="5"/>
      <c r="W46" s="5"/>
      <c r="X46" s="5"/>
      <c r="Y46" s="5"/>
      <c r="Z46" s="5"/>
    </row>
    <row r="47" customHeight="1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1" t="s">
        <v>182</v>
      </c>
      <c r="N47" s="5"/>
      <c r="O47" s="5"/>
      <c r="P47" s="5"/>
      <c r="Q47" s="5"/>
      <c r="R47" s="5"/>
      <c r="S47" s="1" t="s">
        <v>182</v>
      </c>
      <c r="T47" s="5"/>
      <c r="U47" s="5"/>
      <c r="V47" s="5"/>
      <c r="W47" s="5"/>
      <c r="X47" s="5"/>
      <c r="Y47" s="5"/>
      <c r="Z47" s="5"/>
    </row>
    <row r="48" customHeight="1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7" t="s">
        <v>183</v>
      </c>
      <c r="N48" s="5"/>
      <c r="O48" s="5"/>
      <c r="P48" s="5"/>
      <c r="Q48" s="5"/>
      <c r="R48" s="5"/>
      <c r="S48" s="7" t="s">
        <v>184</v>
      </c>
      <c r="T48" s="5"/>
      <c r="U48" s="5"/>
      <c r="V48" s="5"/>
      <c r="W48" s="5"/>
      <c r="X48" s="5"/>
      <c r="Y48" s="5"/>
      <c r="Z48" s="5"/>
    </row>
    <row r="49" customHeight="1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1" t="s">
        <v>143</v>
      </c>
      <c r="M49" s="5"/>
      <c r="N49" s="5"/>
      <c r="O49" s="5"/>
      <c r="P49" s="5"/>
      <c r="Q49" s="5"/>
      <c r="R49" s="1" t="s">
        <v>143</v>
      </c>
      <c r="S49" s="5"/>
      <c r="T49" s="5"/>
      <c r="U49" s="5"/>
      <c r="V49" s="5"/>
      <c r="W49" s="5"/>
      <c r="X49" s="5"/>
      <c r="Y49" s="5"/>
      <c r="Z49" s="5"/>
    </row>
    <row r="50" customHeight="1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7" t="s">
        <v>185</v>
      </c>
      <c r="N50" s="5"/>
      <c r="O50" s="5"/>
      <c r="P50" s="5"/>
      <c r="Q50" s="5"/>
      <c r="R50" s="5"/>
      <c r="S50" s="7" t="s">
        <v>186</v>
      </c>
      <c r="T50" s="5"/>
      <c r="U50" s="5"/>
      <c r="V50" s="5"/>
      <c r="W50" s="5"/>
      <c r="X50" s="5"/>
      <c r="Y50" s="5"/>
      <c r="Z50" s="5"/>
    </row>
    <row r="51" customHeight="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7" t="s">
        <v>187</v>
      </c>
      <c r="N51" s="5"/>
      <c r="O51" s="5"/>
      <c r="P51" s="5"/>
      <c r="Q51" s="5"/>
      <c r="R51" s="5"/>
      <c r="S51" s="7" t="s">
        <v>188</v>
      </c>
      <c r="T51" s="5"/>
      <c r="U51" s="5"/>
      <c r="V51" s="5"/>
      <c r="W51" s="5"/>
      <c r="X51" s="5"/>
      <c r="Y51" s="5"/>
      <c r="Z51" s="5"/>
    </row>
    <row r="52" customHeight="1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1" t="s">
        <v>189</v>
      </c>
      <c r="N52" s="5"/>
      <c r="O52" s="5"/>
      <c r="P52" s="5"/>
      <c r="Q52" s="5"/>
      <c r="R52" s="5"/>
      <c r="S52" s="1" t="s">
        <v>189</v>
      </c>
      <c r="T52" s="5"/>
      <c r="U52" s="5"/>
      <c r="V52" s="5"/>
      <c r="W52" s="5"/>
      <c r="X52" s="5"/>
      <c r="Y52" s="5"/>
      <c r="Z52" s="5"/>
    </row>
    <row r="53" customHeight="1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7" t="s">
        <v>190</v>
      </c>
      <c r="N53" s="5"/>
      <c r="O53" s="5"/>
      <c r="P53" s="5"/>
      <c r="Q53" s="5"/>
      <c r="R53" s="5"/>
      <c r="S53" s="7" t="s">
        <v>191</v>
      </c>
      <c r="T53" s="5"/>
      <c r="U53" s="5"/>
      <c r="V53" s="5"/>
      <c r="W53" s="5"/>
      <c r="X53" s="5"/>
      <c r="Y53" s="5"/>
      <c r="Z53" s="5"/>
    </row>
    <row r="54" customHeight="1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1" t="s">
        <v>173</v>
      </c>
      <c r="L54" s="5"/>
      <c r="M54" s="5"/>
      <c r="N54" s="5"/>
      <c r="O54" s="5"/>
      <c r="P54" s="5"/>
      <c r="Q54" s="1" t="s">
        <v>173</v>
      </c>
      <c r="R54" s="5"/>
      <c r="S54" s="5"/>
      <c r="T54" s="5"/>
      <c r="U54" s="5"/>
      <c r="V54" s="5"/>
      <c r="W54" s="5"/>
      <c r="X54" s="5"/>
      <c r="Y54" s="5"/>
      <c r="Z54" s="5"/>
    </row>
    <row r="55" customHeight="1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7" t="s">
        <v>192</v>
      </c>
      <c r="L55" s="5"/>
      <c r="M55" s="5"/>
      <c r="N55" s="5"/>
      <c r="O55" s="5"/>
      <c r="P55" s="5"/>
      <c r="Q55" s="7" t="s">
        <v>192</v>
      </c>
      <c r="R55" s="5"/>
      <c r="S55" s="5"/>
      <c r="T55" s="5"/>
      <c r="U55" s="5"/>
      <c r="V55" s="5"/>
      <c r="W55" s="5"/>
      <c r="X55" s="5"/>
      <c r="Y55" s="5"/>
      <c r="Z55" s="5"/>
    </row>
    <row r="56" customHeight="1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Height="1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7" t="s">
        <v>193</v>
      </c>
      <c r="L57" s="5"/>
      <c r="M57" s="5"/>
      <c r="N57" s="5"/>
      <c r="O57" s="5"/>
      <c r="P57" s="5"/>
      <c r="Q57" s="7" t="s">
        <v>193</v>
      </c>
      <c r="R57" s="5"/>
      <c r="S57" s="5"/>
      <c r="T57" s="5"/>
      <c r="U57" s="5"/>
      <c r="V57" s="5"/>
      <c r="W57" s="5"/>
      <c r="X57" s="5"/>
      <c r="Y57" s="5"/>
      <c r="Z57" s="5"/>
    </row>
    <row r="58" customHeight="1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6" t="s">
        <v>194</v>
      </c>
      <c r="L58" s="5"/>
      <c r="M58" s="5"/>
      <c r="N58" s="5"/>
      <c r="O58" s="5"/>
      <c r="P58" s="5"/>
      <c r="Q58" s="6" t="s">
        <v>194</v>
      </c>
      <c r="R58" s="5"/>
      <c r="S58" s="5"/>
      <c r="T58" s="5"/>
      <c r="U58" s="5"/>
      <c r="V58" s="5"/>
      <c r="W58" s="5"/>
      <c r="X58" s="5"/>
      <c r="Y58" s="5"/>
      <c r="Z58" s="5"/>
    </row>
    <row r="59" customHeight="1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Height="1" spans="1:26">
      <c r="A60" s="5"/>
      <c r="B60" s="5"/>
      <c r="C60" s="6" t="s">
        <v>195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6" t="s">
        <v>103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Height="1" spans="1:26">
      <c r="A61" s="5"/>
      <c r="B61" s="5"/>
      <c r="C61" s="7" t="s">
        <v>196</v>
      </c>
      <c r="D61" s="5"/>
      <c r="E61" s="5"/>
      <c r="F61" s="5"/>
      <c r="G61" s="5"/>
      <c r="H61" s="5"/>
      <c r="I61" s="1" t="s">
        <v>197</v>
      </c>
      <c r="J61" s="5"/>
      <c r="K61" s="5"/>
      <c r="L61" s="5"/>
      <c r="M61" s="5"/>
      <c r="N61" s="1"/>
      <c r="O61" s="7" t="s">
        <v>198</v>
      </c>
      <c r="P61" s="5"/>
      <c r="Q61" s="5"/>
      <c r="R61" s="5"/>
      <c r="S61" s="5"/>
      <c r="V61" s="1" t="s">
        <v>197</v>
      </c>
      <c r="Z61" s="5"/>
    </row>
    <row r="62" customHeight="1" spans="1:26">
      <c r="A62" s="5"/>
      <c r="B62" s="5"/>
      <c r="C62" s="1" t="s">
        <v>199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1"/>
      <c r="O62" s="1" t="s">
        <v>200</v>
      </c>
      <c r="P62" s="5"/>
      <c r="Q62" s="5"/>
      <c r="R62" s="5"/>
      <c r="S62" s="5"/>
      <c r="Z62" s="5"/>
    </row>
    <row r="63" customHeight="1" spans="1:26">
      <c r="A63" s="5"/>
      <c r="B63" s="5"/>
      <c r="C63" s="7" t="s">
        <v>201</v>
      </c>
      <c r="D63" s="5"/>
      <c r="E63" s="5"/>
      <c r="F63" s="5"/>
      <c r="G63" s="5"/>
      <c r="H63" s="5"/>
      <c r="I63" s="1" t="s">
        <v>202</v>
      </c>
      <c r="J63" s="5"/>
      <c r="K63" s="5"/>
      <c r="L63" s="5"/>
      <c r="M63" s="5"/>
      <c r="N63" s="1"/>
      <c r="O63" s="7" t="s">
        <v>203</v>
      </c>
      <c r="P63" s="5"/>
      <c r="Q63" s="5"/>
      <c r="R63" s="5"/>
      <c r="S63" s="5"/>
      <c r="V63" s="1" t="s">
        <v>202</v>
      </c>
      <c r="Z63" s="5"/>
    </row>
    <row r="64" customHeight="1" spans="1:26">
      <c r="A64" s="5"/>
      <c r="B64" s="5"/>
      <c r="C64" s="1" t="s">
        <v>151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" t="s">
        <v>204</v>
      </c>
      <c r="P64" s="5"/>
      <c r="Q64" s="5"/>
      <c r="R64" s="5"/>
      <c r="S64" s="5"/>
      <c r="Z64" s="5"/>
    </row>
    <row r="65" customHeight="1" spans="1:26">
      <c r="A65" s="5"/>
      <c r="B65" s="5"/>
      <c r="C65" s="7" t="s">
        <v>205</v>
      </c>
      <c r="D65" s="5"/>
      <c r="E65" s="5"/>
      <c r="F65" s="5"/>
      <c r="G65" s="5"/>
      <c r="H65" s="5"/>
      <c r="I65" s="1" t="s">
        <v>202</v>
      </c>
      <c r="K65" s="5"/>
      <c r="L65" s="5"/>
      <c r="M65" s="5"/>
      <c r="N65" s="5"/>
      <c r="O65" s="7" t="s">
        <v>206</v>
      </c>
      <c r="P65" s="5"/>
      <c r="Q65" s="5"/>
      <c r="R65" s="5"/>
      <c r="S65" s="5"/>
      <c r="V65" s="1" t="s">
        <v>202</v>
      </c>
      <c r="Z65" s="5"/>
    </row>
    <row r="66" customHeight="1" spans="1:26">
      <c r="A66" s="5"/>
      <c r="B66" s="5"/>
      <c r="C66" s="1" t="s">
        <v>207</v>
      </c>
      <c r="D66" s="5"/>
      <c r="E66" s="5"/>
      <c r="F66" s="5"/>
      <c r="G66" s="5"/>
      <c r="H66" s="5"/>
      <c r="K66" s="5"/>
      <c r="L66" s="1"/>
      <c r="M66" s="5"/>
      <c r="N66" s="5"/>
      <c r="O66" s="1" t="s">
        <v>208</v>
      </c>
      <c r="P66" s="5"/>
      <c r="Q66" s="5"/>
      <c r="R66" s="5"/>
      <c r="S66" s="5"/>
      <c r="Z66" s="5"/>
    </row>
    <row r="67" customHeight="1" spans="1:26">
      <c r="A67" s="5"/>
      <c r="B67" s="5"/>
      <c r="C67" s="5"/>
      <c r="D67" s="7" t="s">
        <v>209</v>
      </c>
      <c r="E67" s="5"/>
      <c r="F67" s="5"/>
      <c r="G67" s="5"/>
      <c r="H67" s="5"/>
      <c r="I67" s="1" t="s">
        <v>210</v>
      </c>
      <c r="K67" s="5"/>
      <c r="L67" s="5"/>
      <c r="M67" s="5"/>
      <c r="N67" s="5"/>
      <c r="O67" s="7" t="s">
        <v>211</v>
      </c>
      <c r="P67" s="5"/>
      <c r="Q67" s="5"/>
      <c r="R67" s="5"/>
      <c r="S67" s="5"/>
      <c r="T67" s="5"/>
      <c r="U67" s="5"/>
      <c r="V67" s="1" t="s">
        <v>202</v>
      </c>
      <c r="W67" s="5"/>
      <c r="X67" s="5"/>
      <c r="Y67" s="5"/>
      <c r="Z67" s="5"/>
    </row>
    <row r="68" customHeight="1" spans="1:26">
      <c r="A68" s="5"/>
      <c r="B68" s="5"/>
      <c r="C68" s="5"/>
      <c r="D68" s="7" t="s">
        <v>212</v>
      </c>
      <c r="E68" s="5"/>
      <c r="F68" s="5"/>
      <c r="G68" s="5"/>
      <c r="H68" s="5"/>
      <c r="I68" s="1" t="s">
        <v>197</v>
      </c>
      <c r="J68" s="5"/>
      <c r="K68" s="5"/>
      <c r="L68" s="1"/>
      <c r="M68" s="5"/>
      <c r="N68" s="5"/>
      <c r="O68" s="1" t="s">
        <v>213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Height="1" spans="1:26">
      <c r="A69" s="5"/>
      <c r="B69" s="5"/>
      <c r="C69" s="5"/>
      <c r="D69" s="1" t="s">
        <v>214</v>
      </c>
      <c r="E69" s="5"/>
      <c r="F69" s="5"/>
      <c r="G69" s="5"/>
      <c r="H69" s="5"/>
      <c r="I69" s="5"/>
      <c r="J69" s="5"/>
      <c r="K69" s="5"/>
      <c r="L69" s="5"/>
      <c r="M69" s="5"/>
      <c r="N69" s="5"/>
      <c r="P69" s="7" t="s">
        <v>215</v>
      </c>
      <c r="Q69" s="5"/>
      <c r="R69" s="5"/>
      <c r="S69" s="5"/>
      <c r="T69" s="5"/>
      <c r="U69" s="5"/>
      <c r="V69" s="1" t="s">
        <v>210</v>
      </c>
      <c r="W69" s="5"/>
      <c r="X69" s="5"/>
      <c r="Y69" s="5"/>
      <c r="Z69" s="5"/>
    </row>
    <row r="70" customHeight="1" spans="1:26">
      <c r="A70" s="5"/>
      <c r="B70" s="5"/>
      <c r="C70" s="5"/>
      <c r="D70" s="7" t="s">
        <v>216</v>
      </c>
      <c r="E70" s="5"/>
      <c r="F70" s="5"/>
      <c r="G70" s="5"/>
      <c r="H70" s="5"/>
      <c r="I70" s="1" t="s">
        <v>202</v>
      </c>
      <c r="J70" s="5"/>
      <c r="K70" s="5"/>
      <c r="L70" s="1"/>
      <c r="M70" s="5"/>
      <c r="N70" s="5"/>
      <c r="P70" s="7" t="s">
        <v>217</v>
      </c>
      <c r="R70" s="5"/>
      <c r="S70" s="5"/>
      <c r="T70" s="5"/>
      <c r="U70" s="5"/>
      <c r="V70" s="1" t="s">
        <v>197</v>
      </c>
      <c r="W70" s="5"/>
      <c r="X70" s="5"/>
      <c r="Y70" s="5"/>
      <c r="Z70" s="5"/>
    </row>
    <row r="71" customHeight="1" spans="1:26">
      <c r="A71" s="5"/>
      <c r="B71" s="5"/>
      <c r="C71" s="5"/>
      <c r="D71" s="1" t="s">
        <v>218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" t="s">
        <v>219</v>
      </c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Height="1" spans="1:26">
      <c r="A72" s="5"/>
      <c r="B72" s="5"/>
      <c r="C72" s="1"/>
      <c r="D72" s="7" t="s">
        <v>220</v>
      </c>
      <c r="E72" s="5"/>
      <c r="F72" s="5"/>
      <c r="G72" s="5"/>
      <c r="H72" s="5"/>
      <c r="I72" s="1" t="s">
        <v>202</v>
      </c>
      <c r="J72" s="5"/>
      <c r="K72" s="5"/>
      <c r="L72" s="5"/>
      <c r="M72" s="5"/>
      <c r="N72" s="5"/>
      <c r="P72" s="7" t="s">
        <v>221</v>
      </c>
      <c r="Q72" s="5"/>
      <c r="R72" s="5"/>
      <c r="S72" s="5"/>
      <c r="T72" s="5"/>
      <c r="U72" s="5"/>
      <c r="V72" s="1" t="s">
        <v>202</v>
      </c>
      <c r="W72" s="5"/>
      <c r="X72" s="5"/>
      <c r="Y72" s="5"/>
      <c r="Z72" s="5"/>
    </row>
    <row r="73" customHeight="1" spans="1:26">
      <c r="A73" s="5"/>
      <c r="B73" s="5"/>
      <c r="C73" s="1" t="s">
        <v>173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1" t="s">
        <v>222</v>
      </c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Height="1" spans="1:26">
      <c r="A74" s="5"/>
      <c r="B74" s="5"/>
      <c r="C74" s="7" t="s">
        <v>223</v>
      </c>
      <c r="D74" s="5"/>
      <c r="E74" s="5"/>
      <c r="F74" s="5"/>
      <c r="G74" s="5"/>
      <c r="H74" s="5"/>
      <c r="I74" s="1" t="s">
        <v>224</v>
      </c>
      <c r="J74" s="5"/>
      <c r="K74" s="5"/>
      <c r="L74" s="5"/>
      <c r="M74" s="5"/>
      <c r="N74" s="5"/>
      <c r="P74" s="7" t="s">
        <v>225</v>
      </c>
      <c r="Q74" s="5"/>
      <c r="R74" s="5"/>
      <c r="S74" s="5"/>
      <c r="T74" s="5"/>
      <c r="U74" s="5"/>
      <c r="V74" s="1" t="s">
        <v>202</v>
      </c>
      <c r="W74" s="5"/>
      <c r="X74" s="5"/>
      <c r="Y74" s="5"/>
      <c r="Z74" s="5"/>
    </row>
    <row r="75" customHeight="1" spans="1:26">
      <c r="A75" s="5"/>
      <c r="B75" s="5"/>
      <c r="C75" s="7" t="s">
        <v>226</v>
      </c>
      <c r="D75" s="5"/>
      <c r="E75" s="5"/>
      <c r="F75" s="5"/>
      <c r="G75" s="5"/>
      <c r="H75" s="5"/>
      <c r="I75" s="1" t="s">
        <v>197</v>
      </c>
      <c r="J75" s="5"/>
      <c r="K75" s="5"/>
      <c r="L75" s="5"/>
      <c r="M75" s="5"/>
      <c r="N75" s="5"/>
      <c r="O75" s="5"/>
      <c r="P75" s="1" t="s">
        <v>227</v>
      </c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Height="1" spans="1:26">
      <c r="A76" s="5"/>
      <c r="B76" s="5"/>
      <c r="C76" s="6" t="s">
        <v>104</v>
      </c>
      <c r="D76" s="5"/>
      <c r="E76" s="5"/>
      <c r="F76" s="5"/>
      <c r="G76" s="5"/>
      <c r="H76" s="5"/>
      <c r="I76" s="1" t="s">
        <v>197</v>
      </c>
      <c r="J76" s="5"/>
      <c r="K76" s="5"/>
      <c r="L76" s="5"/>
      <c r="M76" s="5"/>
      <c r="N76" s="5"/>
      <c r="P76" s="7" t="s">
        <v>211</v>
      </c>
      <c r="Q76" s="5"/>
      <c r="R76" s="5"/>
      <c r="S76" s="5"/>
      <c r="T76" s="5"/>
      <c r="U76" s="5"/>
      <c r="V76" s="1" t="s">
        <v>202</v>
      </c>
      <c r="W76" s="5"/>
      <c r="X76" s="5"/>
      <c r="Y76" s="5"/>
      <c r="Z76" s="5"/>
    </row>
    <row r="77" customHeight="1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" t="s">
        <v>173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Height="1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7" t="s">
        <v>228</v>
      </c>
      <c r="P78" s="5"/>
      <c r="Q78" s="5"/>
      <c r="R78" s="5"/>
      <c r="S78" s="5"/>
      <c r="T78" s="5"/>
      <c r="U78" s="5"/>
      <c r="V78" s="1" t="s">
        <v>224</v>
      </c>
      <c r="W78" s="5"/>
      <c r="X78" s="5"/>
      <c r="Y78" s="5"/>
      <c r="Z78" s="5"/>
    </row>
    <row r="79" customHeight="1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6" t="s">
        <v>229</v>
      </c>
      <c r="P79" s="5"/>
      <c r="Q79" s="5"/>
      <c r="R79" s="5"/>
      <c r="S79" s="5"/>
      <c r="T79" s="5"/>
      <c r="U79" s="5"/>
      <c r="V79" s="1" t="s">
        <v>197</v>
      </c>
      <c r="W79" s="5"/>
      <c r="X79" s="5"/>
      <c r="Y79" s="5"/>
      <c r="Z79" s="5"/>
    </row>
    <row r="80" customHeight="1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" t="s">
        <v>91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Height="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">
        <v>5</v>
      </c>
      <c r="P81" s="1">
        <v>2</v>
      </c>
      <c r="Q81" s="1">
        <v>3</v>
      </c>
      <c r="R81" s="1">
        <v>1</v>
      </c>
      <c r="S81" s="1">
        <v>4</v>
      </c>
      <c r="T81" s="1">
        <v>7</v>
      </c>
      <c r="U81" s="5"/>
      <c r="V81" s="5"/>
      <c r="W81" s="5"/>
      <c r="X81" s="5"/>
      <c r="Y81" s="5"/>
      <c r="Z81" s="5"/>
    </row>
    <row r="82" customHeight="1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" t="s">
        <v>230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Height="1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">
        <v>5</v>
      </c>
      <c r="P83" s="1">
        <v>2</v>
      </c>
      <c r="Q83" s="1">
        <v>3</v>
      </c>
      <c r="R83" s="1">
        <v>1</v>
      </c>
      <c r="S83" s="1">
        <v>4</v>
      </c>
      <c r="T83" s="1">
        <v>7</v>
      </c>
      <c r="U83" s="5"/>
      <c r="V83" s="5"/>
      <c r="W83" s="5"/>
      <c r="X83" s="5"/>
      <c r="Y83" s="5"/>
      <c r="Z83" s="5"/>
    </row>
    <row r="84" customHeight="1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" t="s">
        <v>231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Height="1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">
        <v>5</v>
      </c>
      <c r="P85" s="1">
        <v>2</v>
      </c>
      <c r="Q85" s="1">
        <v>2</v>
      </c>
      <c r="R85" s="1">
        <v>1</v>
      </c>
      <c r="S85" s="1">
        <v>1</v>
      </c>
      <c r="T85" s="1">
        <v>1</v>
      </c>
      <c r="U85" s="5"/>
      <c r="V85" s="5"/>
      <c r="W85" s="5"/>
      <c r="X85" s="5"/>
      <c r="Y85" s="5"/>
      <c r="Z85" s="5"/>
    </row>
    <row r="86" customHeight="1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Height="1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Height="1" spans="1:26">
      <c r="A88" s="5"/>
      <c r="B88" s="5"/>
      <c r="C88" s="6" t="s">
        <v>103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23" t="s">
        <v>103</v>
      </c>
      <c r="O88" s="24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Height="1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1">
        <v>1</v>
      </c>
      <c r="M89" s="1"/>
      <c r="N89" s="25" t="s">
        <v>232</v>
      </c>
      <c r="O89" s="24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Height="1" spans="1:26">
      <c r="A90" s="5"/>
      <c r="B90" s="5"/>
      <c r="C90" s="7" t="s">
        <v>233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26" t="s">
        <v>234</v>
      </c>
      <c r="O90" s="24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Height="1" spans="1:26">
      <c r="A91" s="5"/>
      <c r="B91" s="5"/>
      <c r="C91" s="1" t="s">
        <v>200</v>
      </c>
      <c r="D91" s="5"/>
      <c r="E91" s="5"/>
      <c r="F91" s="5"/>
      <c r="G91" s="5"/>
      <c r="H91" s="5"/>
      <c r="I91" s="5"/>
      <c r="J91" s="5"/>
      <c r="K91" s="5"/>
      <c r="L91" s="1">
        <v>2</v>
      </c>
      <c r="M91" s="5"/>
      <c r="N91" s="25" t="s">
        <v>235</v>
      </c>
      <c r="O91" s="24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Height="1" spans="1:26">
      <c r="A92" s="5"/>
      <c r="B92" s="5"/>
      <c r="C92" s="7" t="s">
        <v>236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26" t="s">
        <v>237</v>
      </c>
      <c r="O92" s="24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Height="1" spans="1:26">
      <c r="A93" s="5"/>
      <c r="B93" s="5"/>
      <c r="C93" s="1" t="s">
        <v>238</v>
      </c>
      <c r="D93" s="5"/>
      <c r="E93" s="5"/>
      <c r="F93" s="5"/>
      <c r="G93" s="5"/>
      <c r="H93" s="5"/>
      <c r="I93" s="5"/>
      <c r="J93" s="5"/>
      <c r="K93" s="5"/>
      <c r="L93" s="1">
        <v>3</v>
      </c>
      <c r="M93" s="5"/>
      <c r="N93" s="25" t="s">
        <v>239</v>
      </c>
      <c r="O93" s="24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Height="1" spans="1:26">
      <c r="A94" s="5"/>
      <c r="B94" s="5"/>
      <c r="C94" s="7" t="s">
        <v>240</v>
      </c>
      <c r="E94" s="5"/>
      <c r="F94" s="5"/>
      <c r="G94" s="5"/>
      <c r="H94" s="5"/>
      <c r="I94" s="5"/>
      <c r="J94" s="5"/>
      <c r="K94" s="5"/>
      <c r="L94" s="5"/>
      <c r="M94" s="5"/>
      <c r="N94" s="26" t="s">
        <v>241</v>
      </c>
      <c r="O94" s="24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Height="1" spans="1:26">
      <c r="A95" s="5"/>
      <c r="B95" s="5"/>
      <c r="C95" s="1" t="s">
        <v>213</v>
      </c>
      <c r="D95" s="5"/>
      <c r="E95" s="5"/>
      <c r="F95" s="5"/>
      <c r="G95" s="5"/>
      <c r="H95" s="5"/>
      <c r="I95" s="5"/>
      <c r="J95" s="5"/>
      <c r="K95" s="5"/>
      <c r="L95" s="1">
        <v>4</v>
      </c>
      <c r="M95" s="5"/>
      <c r="N95" s="25" t="s">
        <v>242</v>
      </c>
      <c r="O95" s="24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Height="1" spans="1:26">
      <c r="A96" s="5"/>
      <c r="B96" s="5"/>
      <c r="D96" s="7" t="s">
        <v>243</v>
      </c>
      <c r="E96" s="5"/>
      <c r="F96" s="5"/>
      <c r="G96" s="5"/>
      <c r="H96" s="5"/>
      <c r="I96" s="5"/>
      <c r="J96" s="5"/>
      <c r="K96" s="5"/>
      <c r="L96" s="5"/>
      <c r="M96" s="5"/>
      <c r="N96" s="26" t="s">
        <v>213</v>
      </c>
      <c r="O96" s="24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Height="1" spans="1:26">
      <c r="A97" s="5"/>
      <c r="B97" s="5"/>
      <c r="C97" s="5"/>
      <c r="D97" s="1" t="s">
        <v>244</v>
      </c>
      <c r="F97" s="5"/>
      <c r="G97" s="5"/>
      <c r="H97" s="5"/>
      <c r="I97" s="5"/>
      <c r="J97" s="5"/>
      <c r="K97" s="5"/>
      <c r="L97" s="1">
        <v>5</v>
      </c>
      <c r="M97" s="5"/>
      <c r="N97" s="24"/>
      <c r="O97" s="25" t="s">
        <v>245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Height="1" spans="1:26">
      <c r="A98" s="5"/>
      <c r="B98" s="5"/>
      <c r="C98" s="5"/>
      <c r="E98" s="7" t="s">
        <v>246</v>
      </c>
      <c r="F98" s="5"/>
      <c r="G98" s="5"/>
      <c r="H98" s="5"/>
      <c r="I98" s="5"/>
      <c r="J98" s="5"/>
      <c r="K98" s="5"/>
      <c r="L98" s="1">
        <v>6</v>
      </c>
      <c r="M98" s="5"/>
      <c r="N98" s="24"/>
      <c r="O98" s="25" t="s">
        <v>247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Height="1" spans="1:26">
      <c r="A99" s="5"/>
      <c r="B99" s="5"/>
      <c r="C99" s="5"/>
      <c r="D99" s="5"/>
      <c r="E99" s="7" t="s">
        <v>248</v>
      </c>
      <c r="F99" s="5"/>
      <c r="G99" s="5"/>
      <c r="H99" s="5"/>
      <c r="I99" s="5"/>
      <c r="J99" s="5"/>
      <c r="K99" s="5"/>
      <c r="L99" s="5"/>
      <c r="M99" s="5"/>
      <c r="N99" s="24"/>
      <c r="O99" s="26" t="s">
        <v>249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Height="1" spans="1:26">
      <c r="A100" s="5"/>
      <c r="B100" s="5"/>
      <c r="C100" s="5"/>
      <c r="D100" s="5"/>
      <c r="E100" s="1" t="s">
        <v>250</v>
      </c>
      <c r="F100" s="5"/>
      <c r="G100" s="5"/>
      <c r="H100" s="5"/>
      <c r="I100" s="5"/>
      <c r="J100" s="5"/>
      <c r="K100" s="5"/>
      <c r="L100" s="1">
        <v>7</v>
      </c>
      <c r="M100" s="5"/>
      <c r="N100" s="24"/>
      <c r="O100" s="25" t="s">
        <v>251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Height="1" spans="1:26">
      <c r="A101" s="5"/>
      <c r="B101" s="5"/>
      <c r="C101" s="5"/>
      <c r="D101" s="1"/>
      <c r="E101" s="7" t="s">
        <v>252</v>
      </c>
      <c r="F101" s="5"/>
      <c r="G101" s="5"/>
      <c r="H101" s="5"/>
      <c r="I101" s="5"/>
      <c r="J101" s="5"/>
      <c r="K101" s="5"/>
      <c r="L101" s="5"/>
      <c r="M101" s="5"/>
      <c r="N101" s="24"/>
      <c r="O101" s="26" t="s">
        <v>253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Height="1" spans="1:26">
      <c r="A102" s="5"/>
      <c r="B102" s="5"/>
      <c r="C102" s="5"/>
      <c r="D102" s="1" t="s">
        <v>173</v>
      </c>
      <c r="E102" s="5"/>
      <c r="F102" s="5"/>
      <c r="G102" s="5"/>
      <c r="H102" s="5"/>
      <c r="I102" s="5"/>
      <c r="J102" s="5"/>
      <c r="K102" s="5"/>
      <c r="L102" s="1">
        <v>8</v>
      </c>
      <c r="M102" s="5"/>
      <c r="N102" s="24"/>
      <c r="O102" s="25" t="s">
        <v>254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Height="1" spans="1:26">
      <c r="A103" s="5"/>
      <c r="B103" s="5"/>
      <c r="C103" s="5"/>
      <c r="D103" s="1" t="s">
        <v>255</v>
      </c>
      <c r="E103" s="5"/>
      <c r="F103" s="5"/>
      <c r="G103" s="5"/>
      <c r="H103" s="5"/>
      <c r="I103" s="5"/>
      <c r="J103" s="5"/>
      <c r="K103" s="5"/>
      <c r="L103" s="5"/>
      <c r="M103" s="5"/>
      <c r="N103" s="24"/>
      <c r="O103" s="26" t="s">
        <v>256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Height="1" spans="1:26">
      <c r="A104" s="5"/>
      <c r="B104" s="5"/>
      <c r="C104" s="5"/>
      <c r="D104" s="1"/>
      <c r="E104" s="7" t="s">
        <v>257</v>
      </c>
      <c r="F104" s="5"/>
      <c r="G104" s="5"/>
      <c r="H104" s="5"/>
      <c r="I104" s="5"/>
      <c r="J104" s="5"/>
      <c r="K104" s="5"/>
      <c r="L104" s="1">
        <v>9</v>
      </c>
      <c r="M104" s="5"/>
      <c r="N104" s="24"/>
      <c r="O104" s="25" t="s">
        <v>258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Height="1" spans="1:26">
      <c r="A105" s="5"/>
      <c r="B105" s="5"/>
      <c r="C105" s="5"/>
      <c r="D105" s="1"/>
      <c r="E105" s="1"/>
      <c r="F105" s="5"/>
      <c r="G105" s="5"/>
      <c r="H105" s="5"/>
      <c r="I105" s="5"/>
      <c r="J105" s="5"/>
      <c r="K105" s="5"/>
      <c r="L105" s="5"/>
      <c r="M105" s="5"/>
      <c r="N105" s="24"/>
      <c r="O105" s="26" t="s">
        <v>227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Height="1" spans="1:26">
      <c r="A106" s="5"/>
      <c r="B106" s="5"/>
      <c r="C106" s="5"/>
      <c r="D106" s="1"/>
      <c r="E106" s="1" t="s">
        <v>259</v>
      </c>
      <c r="F106" s="5"/>
      <c r="G106" s="5"/>
      <c r="H106" s="5"/>
      <c r="I106" s="5"/>
      <c r="J106" s="5"/>
      <c r="K106" s="5"/>
      <c r="L106" s="1">
        <v>10</v>
      </c>
      <c r="M106" s="5"/>
      <c r="N106" s="24"/>
      <c r="O106" s="25" t="s">
        <v>242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Height="1" spans="1:26">
      <c r="A107" s="5"/>
      <c r="B107" s="5"/>
      <c r="C107" s="5"/>
      <c r="D107" s="1"/>
      <c r="E107" s="7" t="s">
        <v>252</v>
      </c>
      <c r="F107" s="5"/>
      <c r="G107" s="5"/>
      <c r="H107" s="5"/>
      <c r="I107" s="5"/>
      <c r="J107" s="5"/>
      <c r="K107" s="5"/>
      <c r="L107" s="5"/>
      <c r="M107" s="5"/>
      <c r="N107" s="26" t="s">
        <v>173</v>
      </c>
      <c r="O107" s="24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Height="1" spans="1:26">
      <c r="A108" s="5"/>
      <c r="B108" s="5"/>
      <c r="C108" s="5"/>
      <c r="D108" s="1" t="s">
        <v>173</v>
      </c>
      <c r="E108" s="5"/>
      <c r="F108" s="5"/>
      <c r="G108" s="5"/>
      <c r="H108" s="5"/>
      <c r="I108" s="5"/>
      <c r="J108" s="5"/>
      <c r="K108" s="5"/>
      <c r="L108" s="1">
        <v>11</v>
      </c>
      <c r="M108" s="5"/>
      <c r="N108" s="25" t="s">
        <v>260</v>
      </c>
      <c r="O108" s="24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Height="1" spans="1:26">
      <c r="A109" s="5"/>
      <c r="B109" s="5"/>
      <c r="C109" s="5"/>
      <c r="D109" s="7" t="s">
        <v>252</v>
      </c>
      <c r="E109" s="5"/>
      <c r="F109" s="5"/>
      <c r="G109" s="5"/>
      <c r="H109" s="5"/>
      <c r="I109" s="5"/>
      <c r="J109" s="5"/>
      <c r="K109" s="5"/>
      <c r="L109" s="5"/>
      <c r="M109" s="5"/>
      <c r="N109" s="23" t="s">
        <v>261</v>
      </c>
      <c r="O109" s="24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Height="1" spans="1:26">
      <c r="A110" s="5"/>
      <c r="B110" s="5"/>
      <c r="C110" s="5"/>
      <c r="D110" s="1" t="s">
        <v>227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Height="1" spans="1:26">
      <c r="A111" s="5"/>
      <c r="B111" s="5"/>
      <c r="C111" s="1"/>
      <c r="D111" s="7" t="s">
        <v>240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Height="1" spans="1:26">
      <c r="A112" s="5"/>
      <c r="B112" s="5"/>
      <c r="C112" s="1" t="s">
        <v>173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Height="1" spans="1:26">
      <c r="A113" s="5"/>
      <c r="B113" s="5"/>
      <c r="C113" s="7" t="s">
        <v>262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Height="1" spans="1:26">
      <c r="A114" s="5"/>
      <c r="B114" s="5"/>
      <c r="C114" s="6" t="s">
        <v>263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Height="1" spans="1:26">
      <c r="A115" s="5"/>
      <c r="B115" s="5"/>
      <c r="C115" s="10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Height="1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Height="1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Height="1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Height="1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Height="1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Height="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Height="1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Height="1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Height="1" spans="1:26">
      <c r="A124" s="5"/>
      <c r="B124" s="6" t="s">
        <v>103</v>
      </c>
      <c r="C124" s="5"/>
      <c r="D124" s="5"/>
      <c r="E124" s="5"/>
      <c r="F124" s="5"/>
      <c r="G124" s="5"/>
      <c r="H124" s="5"/>
      <c r="I124" s="5"/>
      <c r="J124" s="5"/>
      <c r="K124" s="5"/>
      <c r="L124" s="1"/>
      <c r="M124" s="1"/>
      <c r="N124" s="5"/>
      <c r="O124" s="5"/>
      <c r="P124" s="6" t="s">
        <v>103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Height="1" spans="1:26">
      <c r="A125" s="5"/>
      <c r="B125" s="7" t="s">
        <v>264</v>
      </c>
      <c r="C125" s="5"/>
      <c r="D125" s="5"/>
      <c r="E125" s="5"/>
      <c r="F125" s="5"/>
      <c r="G125" s="5"/>
      <c r="H125" s="5"/>
      <c r="I125" s="1"/>
      <c r="J125" s="1" t="s">
        <v>265</v>
      </c>
      <c r="K125" s="5"/>
      <c r="L125" s="5"/>
      <c r="M125" s="5"/>
      <c r="N125" s="5"/>
      <c r="O125" s="5"/>
      <c r="P125" s="7" t="s">
        <v>198</v>
      </c>
      <c r="Q125" s="5"/>
      <c r="R125" s="5"/>
      <c r="S125" s="5"/>
      <c r="T125" s="5"/>
      <c r="U125" s="5"/>
      <c r="V125" s="5"/>
      <c r="W125" s="1" t="s">
        <v>197</v>
      </c>
      <c r="X125" s="5"/>
      <c r="Y125" s="5"/>
      <c r="Z125" s="5"/>
    </row>
    <row r="126" customHeight="1" spans="1:26">
      <c r="A126" s="5"/>
      <c r="B126" s="1" t="s">
        <v>266</v>
      </c>
      <c r="C126" s="5"/>
      <c r="D126" s="5"/>
      <c r="E126" s="5"/>
      <c r="F126" s="5"/>
      <c r="G126" s="5"/>
      <c r="H126" s="5"/>
      <c r="I126" s="5"/>
      <c r="J126" s="5"/>
      <c r="K126" s="5"/>
      <c r="L126" s="1"/>
      <c r="M126" s="1"/>
      <c r="N126" s="5"/>
      <c r="O126" s="5"/>
      <c r="P126" s="1" t="s">
        <v>200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Height="1" spans="1:26">
      <c r="A127" s="5"/>
      <c r="B127" s="7" t="s">
        <v>267</v>
      </c>
      <c r="C127" s="5"/>
      <c r="D127" s="1"/>
      <c r="E127" s="5"/>
      <c r="F127" s="5"/>
      <c r="G127" s="5"/>
      <c r="H127" s="5"/>
      <c r="I127" s="5"/>
      <c r="J127" s="1" t="s">
        <v>132</v>
      </c>
      <c r="K127" s="5"/>
      <c r="L127" s="5"/>
      <c r="M127" s="5"/>
      <c r="N127" s="5"/>
      <c r="O127" s="5"/>
      <c r="P127" s="7" t="s">
        <v>203</v>
      </c>
      <c r="Q127" s="5"/>
      <c r="R127" s="5"/>
      <c r="S127" s="5"/>
      <c r="T127" s="5"/>
      <c r="U127" s="5"/>
      <c r="V127" s="5"/>
      <c r="W127" s="1" t="s">
        <v>202</v>
      </c>
      <c r="X127" s="5"/>
      <c r="Y127" s="5"/>
      <c r="Z127" s="5"/>
    </row>
    <row r="128" customHeight="1" spans="1:26">
      <c r="A128" s="5"/>
      <c r="B128" s="1" t="s">
        <v>268</v>
      </c>
      <c r="C128" s="5"/>
      <c r="D128" s="1"/>
      <c r="E128" s="5"/>
      <c r="F128" s="5"/>
      <c r="G128" s="5"/>
      <c r="H128" s="5"/>
      <c r="I128" s="5"/>
      <c r="J128" s="5"/>
      <c r="K128" s="5"/>
      <c r="L128" s="1"/>
      <c r="M128" s="1"/>
      <c r="N128" s="5"/>
      <c r="O128" s="5"/>
      <c r="P128" s="1" t="s">
        <v>204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Height="1" spans="1:26">
      <c r="A129" s="5"/>
      <c r="B129" s="7" t="s">
        <v>269</v>
      </c>
      <c r="C129" s="5"/>
      <c r="D129" s="1"/>
      <c r="E129" s="5"/>
      <c r="F129" s="5"/>
      <c r="G129" s="5"/>
      <c r="H129" s="5"/>
      <c r="I129" s="5"/>
      <c r="J129" s="1" t="s">
        <v>132</v>
      </c>
      <c r="K129" s="5"/>
      <c r="L129" s="5"/>
      <c r="M129" s="5"/>
      <c r="N129" s="5"/>
      <c r="O129" s="5"/>
      <c r="P129" s="7" t="s">
        <v>206</v>
      </c>
      <c r="Q129" s="5"/>
      <c r="R129" s="5"/>
      <c r="S129" s="5"/>
      <c r="T129" s="5"/>
      <c r="U129" s="5"/>
      <c r="V129" s="5"/>
      <c r="W129" s="1" t="s">
        <v>202</v>
      </c>
      <c r="X129" s="5"/>
      <c r="Y129" s="5"/>
      <c r="Z129" s="5"/>
    </row>
    <row r="130" customHeight="1" spans="1:26">
      <c r="A130" s="5"/>
      <c r="B130" s="1" t="s">
        <v>175</v>
      </c>
      <c r="C130" s="5"/>
      <c r="D130" s="1" t="s">
        <v>162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1" t="s">
        <v>208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Height="1" spans="1:26">
      <c r="A131" s="5"/>
      <c r="B131" s="5"/>
      <c r="C131" s="7" t="s">
        <v>270</v>
      </c>
      <c r="D131" s="5"/>
      <c r="E131" s="5"/>
      <c r="F131" s="5"/>
      <c r="G131" s="5"/>
      <c r="H131" s="5"/>
      <c r="I131" s="5"/>
      <c r="J131" s="1" t="s">
        <v>271</v>
      </c>
      <c r="K131" s="5"/>
      <c r="L131" s="5"/>
      <c r="M131" s="5"/>
      <c r="N131" s="5"/>
      <c r="O131" s="5"/>
      <c r="P131" s="7" t="s">
        <v>211</v>
      </c>
      <c r="Q131" s="5"/>
      <c r="R131" s="5"/>
      <c r="S131" s="5"/>
      <c r="T131" s="5"/>
      <c r="U131" s="5"/>
      <c r="V131" s="5"/>
      <c r="W131" s="1" t="s">
        <v>202</v>
      </c>
      <c r="X131" s="5"/>
      <c r="Y131" s="5"/>
      <c r="Z131" s="5"/>
    </row>
    <row r="132" customHeight="1" spans="1:26">
      <c r="A132" s="5"/>
      <c r="B132" s="5"/>
      <c r="C132" s="1" t="s">
        <v>177</v>
      </c>
      <c r="D132" s="1" t="s">
        <v>162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1" t="s">
        <v>213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Height="1" spans="1:26">
      <c r="A133" s="5"/>
      <c r="B133" s="5"/>
      <c r="C133" s="5"/>
      <c r="D133" s="7" t="s">
        <v>272</v>
      </c>
      <c r="E133" s="5"/>
      <c r="F133" s="5"/>
      <c r="G133" s="5"/>
      <c r="H133" s="5"/>
      <c r="I133" s="5"/>
      <c r="J133" s="1" t="s">
        <v>273</v>
      </c>
      <c r="K133" s="5"/>
      <c r="L133" s="5"/>
      <c r="M133" s="5"/>
      <c r="N133" s="5"/>
      <c r="O133" s="5"/>
      <c r="P133" s="5"/>
      <c r="Q133" s="7" t="s">
        <v>215</v>
      </c>
      <c r="R133" s="5"/>
      <c r="S133" s="5"/>
      <c r="T133" s="5"/>
      <c r="U133" s="5"/>
      <c r="V133" s="5"/>
      <c r="W133" s="1" t="s">
        <v>271</v>
      </c>
      <c r="X133" s="5"/>
      <c r="Y133" s="5"/>
      <c r="Z133" s="5"/>
    </row>
    <row r="134" customHeight="1" spans="1:26">
      <c r="A134" s="5"/>
      <c r="B134" s="5"/>
      <c r="C134" s="5"/>
      <c r="D134" s="7" t="s">
        <v>274</v>
      </c>
      <c r="E134" s="5"/>
      <c r="F134" s="5"/>
      <c r="G134" s="5"/>
      <c r="H134" s="5"/>
      <c r="I134" s="5"/>
      <c r="J134" s="1" t="s">
        <v>265</v>
      </c>
      <c r="K134" s="5"/>
      <c r="L134" s="5"/>
      <c r="M134" s="5"/>
      <c r="N134" s="5"/>
      <c r="O134" s="1"/>
      <c r="P134" s="5"/>
      <c r="Q134" s="7" t="s">
        <v>275</v>
      </c>
      <c r="R134" s="5"/>
      <c r="S134" s="5"/>
      <c r="T134" s="5"/>
      <c r="U134" s="5"/>
      <c r="V134" s="5"/>
      <c r="W134" s="1" t="s">
        <v>197</v>
      </c>
      <c r="X134" s="5"/>
      <c r="Y134" s="5"/>
      <c r="Z134" s="5"/>
    </row>
    <row r="135" customHeight="1" spans="1:26">
      <c r="A135" s="5"/>
      <c r="B135" s="5"/>
      <c r="C135" s="5"/>
      <c r="D135" s="1" t="s">
        <v>182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"/>
      <c r="P135" s="5"/>
      <c r="Q135" s="1" t="s">
        <v>219</v>
      </c>
      <c r="R135" s="5"/>
      <c r="S135" s="5"/>
      <c r="T135" s="5"/>
      <c r="U135" s="5"/>
      <c r="V135" s="5"/>
      <c r="W135" s="5"/>
      <c r="X135" s="5"/>
      <c r="Y135" s="5"/>
      <c r="Z135" s="5"/>
    </row>
    <row r="136" customHeight="1" spans="1:26">
      <c r="A136" s="5"/>
      <c r="B136" s="5"/>
      <c r="C136" s="5"/>
      <c r="D136" s="7" t="s">
        <v>269</v>
      </c>
      <c r="E136" s="5"/>
      <c r="F136" s="5"/>
      <c r="G136" s="5"/>
      <c r="H136" s="5"/>
      <c r="I136" s="5"/>
      <c r="J136" s="1" t="s">
        <v>132</v>
      </c>
      <c r="K136" s="5"/>
      <c r="L136" s="5"/>
      <c r="M136" s="1"/>
      <c r="N136" s="5"/>
      <c r="O136" s="5"/>
      <c r="P136" s="1"/>
      <c r="Q136" s="7" t="s">
        <v>221</v>
      </c>
      <c r="R136" s="5"/>
      <c r="S136" s="5"/>
      <c r="T136" s="5"/>
      <c r="U136" s="5"/>
      <c r="V136" s="5"/>
      <c r="W136" s="1" t="s">
        <v>202</v>
      </c>
      <c r="X136" s="5"/>
      <c r="Y136" s="5"/>
      <c r="Z136" s="5"/>
    </row>
    <row r="137" customHeight="1" spans="1:26">
      <c r="A137" s="5"/>
      <c r="B137" s="5"/>
      <c r="C137" s="1" t="s">
        <v>173</v>
      </c>
      <c r="D137" s="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1" t="s">
        <v>222</v>
      </c>
      <c r="R137" s="5"/>
      <c r="S137" s="5"/>
      <c r="T137" s="5"/>
      <c r="U137" s="5"/>
      <c r="V137" s="5"/>
      <c r="W137" s="5"/>
      <c r="X137" s="5"/>
      <c r="Y137" s="5"/>
      <c r="Z137" s="5"/>
    </row>
    <row r="138" customHeight="1" spans="1:26">
      <c r="A138" s="5"/>
      <c r="B138" s="5"/>
      <c r="C138" s="1" t="s">
        <v>143</v>
      </c>
      <c r="D138" s="1" t="s">
        <v>162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7" t="s">
        <v>225</v>
      </c>
      <c r="R138" s="5"/>
      <c r="S138" s="5"/>
      <c r="T138" s="5"/>
      <c r="U138" s="5"/>
      <c r="V138" s="5"/>
      <c r="W138" s="1" t="s">
        <v>202</v>
      </c>
      <c r="X138" s="5"/>
      <c r="Y138" s="5"/>
      <c r="Z138" s="5"/>
    </row>
    <row r="139" customHeight="1" spans="1:26">
      <c r="A139" s="5"/>
      <c r="B139" s="5"/>
      <c r="C139" s="5"/>
      <c r="D139" s="7" t="s">
        <v>276</v>
      </c>
      <c r="E139" s="5"/>
      <c r="F139" s="5"/>
      <c r="G139" s="5"/>
      <c r="H139" s="5"/>
      <c r="I139" s="5"/>
      <c r="J139" s="1" t="s">
        <v>273</v>
      </c>
      <c r="K139" s="5"/>
      <c r="L139" s="5"/>
      <c r="M139" s="5"/>
      <c r="N139" s="5"/>
      <c r="O139" s="5"/>
      <c r="P139" s="5"/>
      <c r="Q139" s="1" t="s">
        <v>227</v>
      </c>
      <c r="R139" s="5"/>
      <c r="S139" s="5"/>
      <c r="T139" s="5"/>
      <c r="U139" s="5"/>
      <c r="V139" s="5"/>
      <c r="W139" s="5"/>
      <c r="X139" s="5"/>
      <c r="Y139" s="5"/>
      <c r="Z139" s="5"/>
    </row>
    <row r="140" customHeight="1" spans="1:26">
      <c r="A140" s="5"/>
      <c r="B140" s="5"/>
      <c r="C140" s="5"/>
      <c r="D140" s="7" t="s">
        <v>277</v>
      </c>
      <c r="E140" s="5"/>
      <c r="F140" s="5"/>
      <c r="G140" s="5"/>
      <c r="H140" s="5"/>
      <c r="I140" s="5"/>
      <c r="J140" s="1" t="s">
        <v>265</v>
      </c>
      <c r="K140" s="5"/>
      <c r="L140" s="5"/>
      <c r="M140" s="5"/>
      <c r="N140" s="5"/>
      <c r="O140" s="5"/>
      <c r="P140" s="5"/>
      <c r="Q140" s="7" t="s">
        <v>211</v>
      </c>
      <c r="R140" s="5"/>
      <c r="S140" s="5"/>
      <c r="T140" s="5"/>
      <c r="U140" s="5"/>
      <c r="V140" s="5"/>
      <c r="W140" s="1" t="s">
        <v>202</v>
      </c>
      <c r="X140" s="5"/>
      <c r="Y140" s="5"/>
      <c r="Z140" s="5"/>
    </row>
    <row r="141" customHeight="1" spans="1:26">
      <c r="A141" s="5"/>
      <c r="B141" s="5"/>
      <c r="C141" s="5"/>
      <c r="D141" s="1" t="s">
        <v>189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1" t="s">
        <v>173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Height="1" spans="1:26">
      <c r="A142" s="5"/>
      <c r="B142" s="5"/>
      <c r="C142" s="5"/>
      <c r="D142" s="7" t="s">
        <v>269</v>
      </c>
      <c r="E142" s="5"/>
      <c r="F142" s="5"/>
      <c r="G142" s="5"/>
      <c r="H142" s="5"/>
      <c r="I142" s="5"/>
      <c r="J142" s="1" t="s">
        <v>132</v>
      </c>
      <c r="K142" s="5"/>
      <c r="L142" s="5"/>
      <c r="M142" s="5"/>
      <c r="N142" s="5"/>
      <c r="O142" s="5"/>
      <c r="P142" s="7" t="s">
        <v>228</v>
      </c>
      <c r="Q142" s="5"/>
      <c r="R142" s="5"/>
      <c r="S142" s="5"/>
      <c r="T142" s="5"/>
      <c r="U142" s="5"/>
      <c r="V142" s="5"/>
      <c r="W142" s="1" t="s">
        <v>278</v>
      </c>
      <c r="X142" s="5"/>
      <c r="Y142" s="5"/>
      <c r="Z142" s="5"/>
    </row>
    <row r="143" customHeight="1" spans="1:26">
      <c r="A143" s="5"/>
      <c r="B143" s="5"/>
      <c r="C143" s="18" t="s">
        <v>173</v>
      </c>
      <c r="D143" s="7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Height="1" spans="1:26">
      <c r="A144" s="5"/>
      <c r="B144" s="5"/>
      <c r="C144" s="7" t="s">
        <v>269</v>
      </c>
      <c r="D144" s="7"/>
      <c r="E144" s="5"/>
      <c r="F144" s="5"/>
      <c r="G144" s="5"/>
      <c r="H144" s="5"/>
      <c r="I144" s="5"/>
      <c r="J144" s="1" t="s">
        <v>273</v>
      </c>
      <c r="K144" s="5"/>
      <c r="L144" s="5"/>
      <c r="M144" s="5"/>
      <c r="N144" s="5"/>
      <c r="O144" s="5"/>
      <c r="P144" s="6" t="s">
        <v>229</v>
      </c>
      <c r="Q144" s="5"/>
      <c r="R144" s="5"/>
      <c r="S144" s="5"/>
      <c r="T144" s="5"/>
      <c r="U144" s="5"/>
      <c r="V144" s="5"/>
      <c r="W144" s="1" t="s">
        <v>197</v>
      </c>
      <c r="X144" s="5"/>
      <c r="Y144" s="5"/>
      <c r="Z144" s="5"/>
    </row>
    <row r="145" customHeight="1" spans="1:26">
      <c r="A145" s="5"/>
      <c r="B145" s="1" t="s">
        <v>173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Height="1" spans="1:26">
      <c r="A146" s="5"/>
      <c r="B146" s="7" t="s">
        <v>279</v>
      </c>
      <c r="C146" s="5"/>
      <c r="D146" s="5"/>
      <c r="E146" s="5"/>
      <c r="F146" s="5"/>
      <c r="G146" s="5"/>
      <c r="H146" s="5"/>
      <c r="I146" s="5"/>
      <c r="J146" s="1" t="s">
        <v>224</v>
      </c>
      <c r="K146" s="5"/>
      <c r="L146" s="5"/>
      <c r="M146" s="5"/>
      <c r="N146" s="5"/>
      <c r="O146" s="5"/>
      <c r="P146" s="3"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Height="1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Height="1" spans="1:26">
      <c r="A148" s="5"/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Height="1" spans="1:26">
      <c r="A149" s="5"/>
      <c r="B149" s="6" t="s">
        <v>280</v>
      </c>
      <c r="C149" s="5"/>
      <c r="D149" s="5"/>
      <c r="E149" s="5"/>
      <c r="F149" s="5"/>
      <c r="G149" s="5"/>
      <c r="H149" s="5"/>
      <c r="J149" s="1" t="s">
        <v>197</v>
      </c>
      <c r="K149" s="5"/>
      <c r="L149" s="5"/>
      <c r="M149" s="5"/>
      <c r="N149" s="5"/>
      <c r="O149" s="1" t="s">
        <v>91</v>
      </c>
      <c r="P149" s="1">
        <v>5</v>
      </c>
      <c r="Q149" s="1">
        <v>2</v>
      </c>
      <c r="R149" s="1">
        <v>-3</v>
      </c>
      <c r="S149" s="1">
        <v>-4</v>
      </c>
      <c r="T149" s="1">
        <v>1</v>
      </c>
      <c r="U149" s="1">
        <v>2</v>
      </c>
      <c r="V149" s="1">
        <v>-2</v>
      </c>
      <c r="W149" s="1">
        <v>8</v>
      </c>
      <c r="X149" s="5"/>
      <c r="Y149" s="5"/>
      <c r="Z149" s="5"/>
    </row>
    <row r="150" customHeight="1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" t="s">
        <v>230</v>
      </c>
      <c r="P150" s="1">
        <v>5</v>
      </c>
      <c r="Q150" s="1">
        <v>2</v>
      </c>
      <c r="R150" s="1">
        <v>-3</v>
      </c>
      <c r="S150" s="1">
        <v>-7</v>
      </c>
      <c r="T150" s="1">
        <v>-7</v>
      </c>
      <c r="U150" s="1">
        <v>-7</v>
      </c>
      <c r="V150" s="1">
        <v>-9</v>
      </c>
      <c r="W150" s="1">
        <v>-9</v>
      </c>
      <c r="X150" s="5"/>
      <c r="Y150" s="5"/>
      <c r="Z150" s="5"/>
    </row>
    <row r="151" customHeight="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" t="s">
        <v>231</v>
      </c>
      <c r="P151" s="1">
        <v>5</v>
      </c>
      <c r="Q151" s="1">
        <v>2</v>
      </c>
      <c r="R151" s="1">
        <v>-3</v>
      </c>
      <c r="S151" s="1">
        <v>-7</v>
      </c>
      <c r="T151" s="1">
        <v>-7</v>
      </c>
      <c r="U151" s="1">
        <v>-7</v>
      </c>
      <c r="V151" s="1">
        <v>-9</v>
      </c>
      <c r="W151" s="1">
        <v>-9</v>
      </c>
      <c r="X151" s="5"/>
      <c r="Y151" s="5"/>
      <c r="Z151" s="5"/>
    </row>
    <row r="152" customHeight="1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Height="1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Height="1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Height="1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Height="1" spans="1:26">
      <c r="A156" s="5"/>
      <c r="B156" s="6" t="s">
        <v>103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Height="1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Height="1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6" t="s">
        <v>195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Height="1" spans="1:26">
      <c r="A159" s="5"/>
      <c r="B159" s="7" t="s">
        <v>281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7" t="s">
        <v>282</v>
      </c>
      <c r="Q159" s="5"/>
      <c r="R159" s="5"/>
      <c r="S159" s="5"/>
      <c r="T159" s="5"/>
      <c r="U159" s="1" t="s">
        <v>265</v>
      </c>
      <c r="V159" s="5"/>
      <c r="W159" s="5"/>
      <c r="X159" s="5"/>
      <c r="Y159" s="5"/>
      <c r="Z159" s="5"/>
    </row>
    <row r="160" customHeight="1" spans="1:26">
      <c r="A160" s="5"/>
      <c r="B160" s="1" t="s">
        <v>283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1" t="s">
        <v>284</v>
      </c>
      <c r="Q160" s="5"/>
      <c r="R160" s="5"/>
      <c r="S160" s="5"/>
      <c r="T160" s="5"/>
      <c r="U160" s="5"/>
      <c r="V160" s="1"/>
      <c r="W160" s="5"/>
      <c r="X160" s="5"/>
      <c r="Y160" s="5"/>
      <c r="Z160" s="5"/>
    </row>
    <row r="161" customHeight="1" spans="1:26">
      <c r="A161" s="5"/>
      <c r="B161" s="7" t="s">
        <v>285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7" t="s">
        <v>286</v>
      </c>
      <c r="T161" s="5"/>
      <c r="U161" s="1" t="s">
        <v>132</v>
      </c>
      <c r="V161" s="5"/>
      <c r="W161" s="5"/>
      <c r="X161" s="1"/>
      <c r="Y161" s="5"/>
      <c r="Z161" s="5"/>
    </row>
    <row r="162" customHeight="1" spans="1:26">
      <c r="A162" s="5"/>
      <c r="B162" s="1" t="s">
        <v>287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1" t="s">
        <v>288</v>
      </c>
      <c r="Q162" s="5"/>
      <c r="R162" s="5"/>
      <c r="S162" s="5"/>
      <c r="T162" s="5"/>
      <c r="U162" s="1"/>
      <c r="V162" s="1"/>
      <c r="W162" s="5"/>
      <c r="X162" s="1"/>
      <c r="Y162" s="5"/>
      <c r="Z162" s="5"/>
    </row>
    <row r="163" customHeight="1" spans="1:26">
      <c r="A163" s="5"/>
      <c r="B163" s="5"/>
      <c r="C163" s="7" t="s">
        <v>289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7" t="s">
        <v>220</v>
      </c>
      <c r="S163" s="5"/>
      <c r="T163" s="5"/>
      <c r="U163" s="1" t="s">
        <v>132</v>
      </c>
      <c r="V163" s="1"/>
      <c r="W163" s="5"/>
      <c r="X163" s="1"/>
      <c r="Y163" s="5"/>
      <c r="Z163" s="5"/>
    </row>
    <row r="164" customHeight="1" spans="1:26">
      <c r="A164" s="5"/>
      <c r="B164" s="5"/>
      <c r="C164" s="7" t="s">
        <v>290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1" t="s">
        <v>207</v>
      </c>
      <c r="Q164" s="5"/>
      <c r="R164" s="5"/>
      <c r="S164" s="5"/>
      <c r="T164" s="5"/>
      <c r="U164" s="1"/>
      <c r="V164" s="1"/>
      <c r="W164" s="5"/>
      <c r="X164" s="5"/>
      <c r="Y164" s="5"/>
      <c r="Z164" s="5"/>
    </row>
    <row r="165" customHeight="1" spans="1:26">
      <c r="A165" s="5"/>
      <c r="B165" s="5"/>
      <c r="C165" s="1" t="s">
        <v>291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7" t="s">
        <v>209</v>
      </c>
      <c r="R165" s="5"/>
      <c r="S165" s="5"/>
      <c r="T165" s="5"/>
      <c r="U165" s="1" t="s">
        <v>292</v>
      </c>
      <c r="V165" s="1"/>
      <c r="W165" s="5"/>
      <c r="X165" s="5"/>
      <c r="Y165" s="5"/>
      <c r="Z165" s="5"/>
    </row>
    <row r="166" customHeight="1" spans="1:26">
      <c r="A166" s="5"/>
      <c r="B166" s="5"/>
      <c r="C166" s="7" t="s">
        <v>293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7" t="s">
        <v>294</v>
      </c>
      <c r="R166" s="5"/>
      <c r="S166" s="5"/>
      <c r="T166" s="5"/>
      <c r="U166" s="1" t="s">
        <v>265</v>
      </c>
      <c r="V166" s="1"/>
      <c r="W166" s="5"/>
      <c r="X166" s="5"/>
      <c r="Y166" s="5"/>
      <c r="Z166" s="5"/>
    </row>
    <row r="167" customHeight="1" spans="1:26">
      <c r="A167" s="5"/>
      <c r="B167" s="5"/>
      <c r="C167" s="1" t="s">
        <v>295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1" t="s">
        <v>214</v>
      </c>
      <c r="R167" s="5"/>
      <c r="S167" s="5"/>
      <c r="T167" s="5"/>
      <c r="U167" s="5"/>
      <c r="V167" s="5"/>
      <c r="W167" s="5"/>
      <c r="X167" s="5"/>
      <c r="Y167" s="5"/>
      <c r="Z167" s="5"/>
    </row>
    <row r="168" customHeight="1" spans="1:26">
      <c r="A168" s="5"/>
      <c r="B168" s="5"/>
      <c r="C168" s="7" t="s">
        <v>296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7" t="s">
        <v>297</v>
      </c>
      <c r="R168" s="5"/>
      <c r="S168" s="5"/>
      <c r="T168" s="5"/>
      <c r="U168" s="1" t="s">
        <v>132</v>
      </c>
      <c r="V168" s="5"/>
      <c r="W168" s="5"/>
      <c r="X168" s="5"/>
      <c r="Y168" s="5"/>
      <c r="Z168" s="5"/>
    </row>
    <row r="169" customHeight="1" spans="1:26">
      <c r="A169" s="5"/>
      <c r="B169" s="5"/>
      <c r="C169" s="1" t="s">
        <v>298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1" t="s">
        <v>218</v>
      </c>
      <c r="R169" s="5"/>
      <c r="S169" s="5"/>
      <c r="T169" s="5"/>
      <c r="U169" s="5"/>
      <c r="V169" s="5"/>
      <c r="W169" s="5"/>
      <c r="X169" s="5"/>
      <c r="Y169" s="5"/>
      <c r="Z169" s="5"/>
    </row>
    <row r="170" customHeight="1" spans="1:26">
      <c r="A170" s="5"/>
      <c r="B170" s="5"/>
      <c r="C170" s="5"/>
      <c r="D170" s="7" t="s">
        <v>299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7" t="s">
        <v>220</v>
      </c>
      <c r="R170" s="5"/>
      <c r="S170" s="5"/>
      <c r="T170" s="5"/>
      <c r="U170" s="1" t="s">
        <v>132</v>
      </c>
      <c r="V170" s="5"/>
      <c r="W170" s="5"/>
      <c r="X170" s="5"/>
      <c r="Y170" s="5"/>
      <c r="Z170" s="5"/>
    </row>
    <row r="171" customHeight="1" spans="1:26">
      <c r="A171" s="5"/>
      <c r="B171" s="5"/>
      <c r="C171" s="5"/>
      <c r="D171" s="1" t="s">
        <v>300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1" t="s">
        <v>173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Height="1" spans="1:26">
      <c r="A172" s="5"/>
      <c r="B172" s="5"/>
      <c r="C172" s="5"/>
      <c r="D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7" t="s">
        <v>301</v>
      </c>
      <c r="Q172" s="5"/>
      <c r="R172" s="5"/>
      <c r="S172" s="5"/>
      <c r="T172" s="5"/>
      <c r="U172" s="1" t="s">
        <v>302</v>
      </c>
      <c r="V172" s="5"/>
      <c r="W172" s="5"/>
      <c r="X172" s="5"/>
      <c r="Y172" s="5"/>
      <c r="Z172" s="5"/>
    </row>
    <row r="173" customHeight="1" spans="1:26">
      <c r="A173" s="5"/>
      <c r="B173" s="5"/>
      <c r="C173" s="5"/>
      <c r="D173" s="5"/>
      <c r="E173" s="1" t="s">
        <v>303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6" t="s">
        <v>104</v>
      </c>
      <c r="Q173" s="5"/>
      <c r="R173" s="5"/>
      <c r="S173" s="5"/>
      <c r="T173" s="5"/>
      <c r="U173" s="1" t="s">
        <v>265</v>
      </c>
      <c r="V173" s="5"/>
      <c r="W173" s="5"/>
      <c r="X173" s="5"/>
      <c r="Y173" s="5"/>
      <c r="Z173" s="5"/>
    </row>
    <row r="174" customHeight="1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Height="1" spans="1:26">
      <c r="A175" s="5"/>
      <c r="B175" s="5"/>
      <c r="C175" s="5"/>
      <c r="D175" s="1" t="s">
        <v>173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Height="1" spans="1:26">
      <c r="A176" s="5"/>
      <c r="B176" s="5"/>
      <c r="C176" s="5"/>
      <c r="D176" s="1" t="s">
        <v>304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Height="1" spans="1:26">
      <c r="A177" s="5"/>
      <c r="B177" s="5"/>
      <c r="C177" s="1"/>
      <c r="D177" s="7" t="s">
        <v>296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Height="1" spans="1:26">
      <c r="A178" s="5"/>
      <c r="B178" s="5"/>
      <c r="C178" s="1" t="s">
        <v>173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1" t="s">
        <v>305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Height="1" spans="1:26">
      <c r="A179" s="5"/>
      <c r="B179" s="5"/>
      <c r="C179" s="7" t="s">
        <v>306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6" t="s">
        <v>129</v>
      </c>
      <c r="Q179" s="5"/>
      <c r="R179" s="5"/>
      <c r="S179" s="5"/>
      <c r="T179" s="7" t="s">
        <v>307</v>
      </c>
      <c r="U179" s="5"/>
      <c r="V179" s="5"/>
      <c r="W179" s="5"/>
      <c r="X179" s="5"/>
      <c r="Y179" s="5"/>
      <c r="Z179" s="5"/>
    </row>
    <row r="180" customHeight="1" spans="1:26">
      <c r="A180" s="5"/>
      <c r="C180" s="7"/>
      <c r="E180" s="5"/>
      <c r="F180" s="5"/>
      <c r="G180" s="1"/>
      <c r="H180" s="5"/>
      <c r="I180" s="5"/>
      <c r="J180" s="5"/>
      <c r="K180" s="5"/>
      <c r="L180" s="5"/>
      <c r="M180" s="5"/>
      <c r="N180" s="5"/>
      <c r="O180" s="5"/>
      <c r="P180" s="7" t="s">
        <v>308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Height="1" spans="1:26">
      <c r="A181" s="5"/>
      <c r="C181" s="7" t="s">
        <v>309</v>
      </c>
      <c r="E181" s="5"/>
      <c r="F181" s="5"/>
      <c r="G181" s="1" t="s">
        <v>310</v>
      </c>
      <c r="H181" s="5"/>
      <c r="I181" s="5"/>
      <c r="J181" s="5"/>
      <c r="K181" s="5"/>
      <c r="L181" s="5"/>
      <c r="M181" s="5"/>
      <c r="N181" s="5"/>
      <c r="O181" s="5"/>
      <c r="P181" s="1" t="s">
        <v>234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Height="1" spans="1:26">
      <c r="A182" s="5"/>
      <c r="C182" s="1"/>
      <c r="E182" s="5"/>
      <c r="F182" s="5"/>
      <c r="G182" s="1"/>
      <c r="H182" s="5"/>
      <c r="I182" s="5"/>
      <c r="J182" s="5"/>
      <c r="K182" s="5"/>
      <c r="L182" s="5"/>
      <c r="M182" s="5"/>
      <c r="N182" s="5"/>
      <c r="O182" s="5"/>
      <c r="P182" s="7" t="s">
        <v>311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Height="1" spans="1:26">
      <c r="A183" s="5"/>
      <c r="C183" s="1"/>
      <c r="E183" s="5"/>
      <c r="F183" s="5"/>
      <c r="G183" s="1"/>
      <c r="H183" s="5"/>
      <c r="I183" s="5"/>
      <c r="J183" s="5"/>
      <c r="K183" s="5"/>
      <c r="L183" s="5"/>
      <c r="M183" s="5"/>
      <c r="N183" s="5"/>
      <c r="O183" s="5"/>
      <c r="P183" s="18" t="s">
        <v>312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Height="1" spans="1:26">
      <c r="A184" s="5"/>
      <c r="C184" s="1" t="s">
        <v>313</v>
      </c>
      <c r="E184" s="5"/>
      <c r="F184" s="5"/>
      <c r="G184" s="1"/>
      <c r="H184" s="5"/>
      <c r="I184" s="5"/>
      <c r="J184" s="5"/>
      <c r="K184" s="5"/>
      <c r="L184" s="5"/>
      <c r="M184" s="5"/>
      <c r="N184" s="5"/>
      <c r="O184" s="5"/>
      <c r="P184" s="7" t="s">
        <v>314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Height="1" spans="1:26">
      <c r="A185" s="5"/>
      <c r="B185" s="5"/>
      <c r="C185" s="7"/>
      <c r="D185" s="5"/>
      <c r="E185" s="5"/>
      <c r="F185" s="5"/>
      <c r="G185" s="1" t="s">
        <v>315</v>
      </c>
      <c r="H185" s="5"/>
      <c r="I185" s="5"/>
      <c r="J185" s="5"/>
      <c r="K185" s="5"/>
      <c r="L185" s="5"/>
      <c r="M185" s="5"/>
      <c r="N185" s="5"/>
      <c r="O185" s="5"/>
      <c r="P185" s="1" t="s">
        <v>316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Height="1" spans="1:26">
      <c r="A186" s="5"/>
      <c r="B186" s="5"/>
      <c r="C186" s="1" t="s">
        <v>317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7" t="s">
        <v>318</v>
      </c>
      <c r="R186" s="5"/>
      <c r="S186" s="5"/>
      <c r="T186" s="5"/>
      <c r="U186" s="5"/>
      <c r="V186" s="5"/>
      <c r="W186" s="5"/>
      <c r="X186" s="5"/>
      <c r="Y186" s="5"/>
      <c r="Z186" s="5"/>
    </row>
    <row r="187" customHeight="1" spans="1:26">
      <c r="A187" s="5"/>
      <c r="B187" s="5"/>
      <c r="C187" s="7"/>
      <c r="D187" s="5"/>
      <c r="E187" s="5"/>
      <c r="F187" s="5"/>
      <c r="G187" s="1"/>
      <c r="H187" s="5"/>
      <c r="I187" s="5"/>
      <c r="J187" s="5"/>
      <c r="K187" s="5"/>
      <c r="L187" s="5"/>
      <c r="M187" s="5"/>
      <c r="N187" s="5"/>
      <c r="O187" s="5"/>
      <c r="P187" s="5"/>
      <c r="Q187" s="7"/>
      <c r="R187" s="5"/>
      <c r="S187" s="5"/>
      <c r="T187" s="5"/>
      <c r="U187" s="5"/>
      <c r="V187" s="5"/>
      <c r="W187" s="5"/>
      <c r="X187" s="5"/>
      <c r="Y187" s="5"/>
      <c r="Z187" s="5"/>
    </row>
    <row r="188" customHeight="1" spans="1:26">
      <c r="A188" s="5"/>
      <c r="B188" s="5"/>
      <c r="C188" s="7"/>
      <c r="D188" s="5"/>
      <c r="E188" s="5"/>
      <c r="F188" s="5"/>
      <c r="G188" s="1" t="s">
        <v>319</v>
      </c>
      <c r="H188" s="5"/>
      <c r="I188" s="5"/>
      <c r="J188" s="5"/>
      <c r="K188" s="5"/>
      <c r="L188" s="5"/>
      <c r="M188" s="5"/>
      <c r="N188" s="5"/>
      <c r="O188" s="5"/>
      <c r="P188" s="5"/>
      <c r="Q188" s="1" t="s">
        <v>320</v>
      </c>
      <c r="R188" s="5"/>
      <c r="S188" s="5"/>
      <c r="T188" s="5"/>
      <c r="U188" s="5"/>
      <c r="V188" s="5"/>
      <c r="W188" s="5"/>
      <c r="X188" s="5"/>
      <c r="Y188" s="5"/>
      <c r="Z188" s="5"/>
    </row>
    <row r="189" customHeight="1" spans="1:26">
      <c r="A189" s="5"/>
      <c r="B189" s="5"/>
      <c r="C189" s="1" t="s">
        <v>321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R189" s="7" t="s">
        <v>322</v>
      </c>
      <c r="S189" s="5"/>
      <c r="T189" s="5"/>
      <c r="U189" s="5"/>
      <c r="V189" s="5"/>
      <c r="W189" s="5"/>
      <c r="X189" s="5"/>
      <c r="Y189" s="5"/>
      <c r="Z189" s="5"/>
    </row>
    <row r="190" customHeight="1" spans="1:26">
      <c r="A190" s="5"/>
      <c r="B190" s="5"/>
      <c r="C190" s="7" t="s">
        <v>309</v>
      </c>
      <c r="D190" s="5"/>
      <c r="E190" s="5"/>
      <c r="F190" s="5"/>
      <c r="G190" s="1" t="s">
        <v>310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7" t="s">
        <v>323</v>
      </c>
      <c r="S190" s="5"/>
      <c r="T190" s="5"/>
      <c r="U190" s="5"/>
      <c r="V190" s="5"/>
      <c r="W190" s="5"/>
      <c r="X190" s="5"/>
      <c r="Y190" s="5"/>
      <c r="Z190" s="5"/>
    </row>
    <row r="191" customHeight="1" spans="1:26">
      <c r="A191" s="5"/>
      <c r="B191" s="5"/>
      <c r="C191" s="1" t="s">
        <v>324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1" t="s">
        <v>325</v>
      </c>
      <c r="S191" s="5"/>
      <c r="T191" s="5"/>
      <c r="U191" s="5"/>
      <c r="V191" s="5"/>
      <c r="W191" s="5"/>
      <c r="X191" s="5"/>
      <c r="Y191" s="5"/>
      <c r="Z191" s="5"/>
    </row>
    <row r="192" customHeight="1" spans="1:26">
      <c r="A192" s="5"/>
      <c r="B192" s="1"/>
      <c r="C192" s="7"/>
      <c r="D192" s="5"/>
      <c r="E192" s="5"/>
      <c r="F192" s="5"/>
      <c r="G192" s="1"/>
      <c r="H192" s="5"/>
      <c r="I192" s="5"/>
      <c r="J192" s="5"/>
      <c r="K192" s="5"/>
      <c r="L192" s="5"/>
      <c r="M192" s="5"/>
      <c r="N192" s="5"/>
      <c r="O192" s="5"/>
      <c r="P192" s="5"/>
      <c r="Q192" s="1"/>
      <c r="R192" s="7" t="s">
        <v>326</v>
      </c>
      <c r="S192" s="5"/>
      <c r="T192" s="5"/>
      <c r="U192" s="5"/>
      <c r="V192" s="5"/>
      <c r="W192" s="5"/>
      <c r="X192" s="5"/>
      <c r="Y192" s="5"/>
      <c r="Z192" s="5"/>
    </row>
    <row r="193" customHeight="1" spans="1:26">
      <c r="A193" s="5"/>
      <c r="B193" s="1"/>
      <c r="C193" s="7" t="s">
        <v>285</v>
      </c>
      <c r="D193" s="5"/>
      <c r="E193" s="5"/>
      <c r="F193" s="5"/>
      <c r="G193" s="1" t="s">
        <v>327</v>
      </c>
      <c r="H193" s="5"/>
      <c r="I193" s="5"/>
      <c r="J193" s="5"/>
      <c r="K193" s="5"/>
      <c r="L193" s="5"/>
      <c r="M193" s="5"/>
      <c r="N193" s="5"/>
      <c r="O193" s="5"/>
      <c r="P193" s="5"/>
      <c r="Q193" s="1" t="s">
        <v>173</v>
      </c>
      <c r="R193" s="5"/>
      <c r="S193" s="5"/>
      <c r="T193" s="5"/>
      <c r="U193" s="5"/>
      <c r="V193" s="5"/>
      <c r="W193" s="5"/>
      <c r="X193" s="5"/>
      <c r="Y193" s="5"/>
      <c r="Z193" s="5"/>
    </row>
    <row r="194" customHeight="1" spans="1:26">
      <c r="A194" s="5"/>
      <c r="B194" s="1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7" t="s">
        <v>326</v>
      </c>
      <c r="R194" s="5"/>
      <c r="S194" s="5"/>
      <c r="T194" s="5"/>
      <c r="U194" s="5"/>
      <c r="V194" s="5"/>
      <c r="W194" s="5"/>
      <c r="X194" s="5"/>
      <c r="Y194" s="5"/>
      <c r="Z194" s="5"/>
    </row>
    <row r="195" customHeight="1" spans="1:26">
      <c r="A195" s="5"/>
      <c r="B195" s="1" t="s">
        <v>173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1" t="s">
        <v>227</v>
      </c>
      <c r="R195" s="5"/>
      <c r="S195" s="5"/>
      <c r="T195" s="5"/>
      <c r="U195" s="5"/>
      <c r="V195" s="5"/>
      <c r="W195" s="5"/>
      <c r="X195" s="5"/>
      <c r="Y195" s="5"/>
      <c r="Z195" s="5"/>
    </row>
    <row r="196" customHeight="1" spans="1:26">
      <c r="A196" s="5"/>
      <c r="B196" s="7"/>
      <c r="C196" s="5"/>
      <c r="D196" s="5"/>
      <c r="E196" s="5"/>
      <c r="F196" s="5"/>
      <c r="G196" s="1"/>
      <c r="H196" s="5"/>
      <c r="I196" s="5"/>
      <c r="J196" s="5"/>
      <c r="K196" s="5"/>
      <c r="L196" s="5"/>
      <c r="M196" s="5"/>
      <c r="N196" s="5"/>
      <c r="O196" s="5"/>
      <c r="P196" s="1"/>
      <c r="Q196" s="7" t="s">
        <v>314</v>
      </c>
      <c r="R196" s="5"/>
      <c r="S196" s="5"/>
      <c r="T196" s="5"/>
      <c r="U196" s="5"/>
      <c r="V196" s="5"/>
      <c r="W196" s="5"/>
      <c r="X196" s="5"/>
      <c r="Y196" s="5"/>
      <c r="Z196" s="5"/>
    </row>
    <row r="197" customHeight="1" spans="1:26">
      <c r="A197" s="5"/>
      <c r="B197" s="7" t="s">
        <v>328</v>
      </c>
      <c r="C197" s="5"/>
      <c r="D197" s="5"/>
      <c r="E197" s="5"/>
      <c r="F197" s="5"/>
      <c r="G197" s="1" t="s">
        <v>329</v>
      </c>
      <c r="H197" s="5"/>
      <c r="I197" s="5"/>
      <c r="J197" s="5"/>
      <c r="K197" s="5"/>
      <c r="L197" s="5"/>
      <c r="M197" s="5"/>
      <c r="N197" s="5"/>
      <c r="O197" s="5"/>
      <c r="P197" s="1" t="s">
        <v>173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Height="1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7" t="s">
        <v>330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Height="1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Height="1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Height="1" spans="1:26">
      <c r="A201" s="5"/>
      <c r="B201" s="6" t="s">
        <v>331</v>
      </c>
      <c r="C201" s="5"/>
      <c r="D201" s="5"/>
      <c r="E201" s="5"/>
      <c r="F201" s="5"/>
      <c r="G201" s="1" t="s">
        <v>332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Height="1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6" t="s">
        <v>333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Height="1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Height="1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Height="1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Height="1" spans="1:26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Height="1" spans="1:26">
      <c r="A207" s="5"/>
      <c r="B207" s="6" t="s">
        <v>103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6" t="s">
        <v>195</v>
      </c>
      <c r="O207" s="5"/>
      <c r="P207" s="5"/>
      <c r="Q207" s="5"/>
      <c r="R207" s="5"/>
      <c r="S207" s="5"/>
      <c r="T207" s="5"/>
      <c r="V207" s="5"/>
      <c r="W207" s="5"/>
      <c r="X207" s="5"/>
      <c r="Y207" s="5"/>
      <c r="Z207" s="5"/>
    </row>
    <row r="208" customHeight="1" spans="1:26">
      <c r="A208" s="5"/>
      <c r="B208" s="7" t="s">
        <v>334</v>
      </c>
      <c r="C208" s="5"/>
      <c r="D208" s="5"/>
      <c r="E208" s="5"/>
      <c r="F208" s="1" t="s">
        <v>197</v>
      </c>
      <c r="G208" s="5"/>
      <c r="H208" s="5"/>
      <c r="I208" s="5"/>
      <c r="J208" s="5"/>
      <c r="K208" s="5"/>
      <c r="L208" s="5"/>
      <c r="M208" s="5"/>
      <c r="N208" s="7" t="s">
        <v>335</v>
      </c>
      <c r="O208" s="5"/>
      <c r="P208" s="5"/>
      <c r="Q208" s="5"/>
      <c r="S208" s="5"/>
      <c r="T208" s="5"/>
      <c r="U208" s="1" t="s">
        <v>197</v>
      </c>
      <c r="V208" s="5"/>
      <c r="W208" s="5"/>
      <c r="X208" s="5"/>
      <c r="Y208" s="5"/>
      <c r="Z208" s="5"/>
    </row>
    <row r="209" customHeight="1" spans="1:26">
      <c r="A209" s="5"/>
      <c r="B209" s="1" t="s">
        <v>151</v>
      </c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1" t="s">
        <v>151</v>
      </c>
      <c r="O209" s="5"/>
      <c r="P209" s="5"/>
      <c r="Q209" s="5"/>
      <c r="S209" s="5"/>
      <c r="T209" s="5"/>
      <c r="U209" s="5"/>
      <c r="V209" s="5"/>
      <c r="W209" s="5"/>
      <c r="X209" s="5"/>
      <c r="Y209" s="5"/>
      <c r="Z209" s="5"/>
    </row>
    <row r="210" customHeight="1" spans="1:26">
      <c r="A210" s="5"/>
      <c r="B210" s="7" t="s">
        <v>150</v>
      </c>
      <c r="C210" s="5"/>
      <c r="D210" s="5"/>
      <c r="E210" s="5"/>
      <c r="F210" s="1" t="s">
        <v>202</v>
      </c>
      <c r="G210" s="5"/>
      <c r="H210" s="5"/>
      <c r="I210" s="5"/>
      <c r="J210" s="5"/>
      <c r="K210" s="5"/>
      <c r="L210" s="5"/>
      <c r="M210" s="5"/>
      <c r="N210" s="7" t="s">
        <v>336</v>
      </c>
      <c r="O210" s="5"/>
      <c r="P210" s="5"/>
      <c r="Q210" s="5"/>
      <c r="S210" s="5"/>
      <c r="T210" s="5"/>
      <c r="U210" s="1" t="s">
        <v>202</v>
      </c>
      <c r="V210" s="5"/>
      <c r="W210" s="5"/>
      <c r="X210" s="5"/>
      <c r="Y210" s="5"/>
      <c r="Z210" s="5"/>
    </row>
    <row r="211" customHeight="1" spans="1:26">
      <c r="A211" s="5"/>
      <c r="B211" s="1" t="s">
        <v>154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1" t="s">
        <v>154</v>
      </c>
      <c r="O211" s="5"/>
      <c r="P211" s="5"/>
      <c r="Q211" s="5"/>
      <c r="S211" s="5"/>
      <c r="T211" s="5"/>
      <c r="U211" s="5"/>
      <c r="V211" s="5"/>
      <c r="W211" s="5"/>
      <c r="X211" s="5"/>
      <c r="Y211" s="5"/>
      <c r="Z211" s="5"/>
    </row>
    <row r="212" customHeight="1" spans="1:26">
      <c r="A212" s="5"/>
      <c r="B212" s="7" t="s">
        <v>157</v>
      </c>
      <c r="C212" s="5"/>
      <c r="D212" s="5"/>
      <c r="E212" s="5"/>
      <c r="F212" s="1" t="s">
        <v>202</v>
      </c>
      <c r="G212" s="5"/>
      <c r="H212" s="5"/>
      <c r="I212" s="5"/>
      <c r="J212" s="5"/>
      <c r="K212" s="5"/>
      <c r="L212" s="5"/>
      <c r="M212" s="5"/>
      <c r="N212" s="7" t="s">
        <v>337</v>
      </c>
      <c r="O212" s="5"/>
      <c r="P212" s="5"/>
      <c r="Q212" s="5"/>
      <c r="S212" s="5"/>
      <c r="T212" s="5"/>
      <c r="U212" s="1" t="s">
        <v>202</v>
      </c>
      <c r="V212" s="5"/>
      <c r="W212" s="5"/>
      <c r="X212" s="5"/>
      <c r="Y212" s="5"/>
      <c r="Z212" s="5"/>
    </row>
    <row r="213" customHeight="1" spans="1:26">
      <c r="A213" s="5"/>
      <c r="B213" s="1" t="s">
        <v>161</v>
      </c>
      <c r="C213" s="5"/>
      <c r="D213" s="1" t="s">
        <v>162</v>
      </c>
      <c r="E213" s="5"/>
      <c r="F213" s="5"/>
      <c r="G213" s="5"/>
      <c r="H213" s="5"/>
      <c r="I213" s="5"/>
      <c r="J213" s="5"/>
      <c r="K213" s="5"/>
      <c r="L213" s="5"/>
      <c r="M213" s="5"/>
      <c r="N213" s="1" t="s">
        <v>161</v>
      </c>
      <c r="O213" s="5"/>
      <c r="P213" s="1" t="s">
        <v>162</v>
      </c>
      <c r="Q213" s="5"/>
      <c r="S213" s="5"/>
      <c r="T213" s="5"/>
      <c r="U213" s="5"/>
      <c r="V213" s="5"/>
      <c r="W213" s="5"/>
      <c r="X213" s="5"/>
      <c r="Y213" s="5"/>
      <c r="Z213" s="5"/>
    </row>
    <row r="214" customHeight="1" spans="1:26">
      <c r="A214" s="5"/>
      <c r="B214" s="5"/>
      <c r="C214" s="7" t="s">
        <v>338</v>
      </c>
      <c r="D214" s="5"/>
      <c r="E214" s="5"/>
      <c r="F214" s="1" t="s">
        <v>210</v>
      </c>
      <c r="G214" s="5"/>
      <c r="H214" s="5"/>
      <c r="I214" s="5"/>
      <c r="J214" s="5"/>
      <c r="K214" s="5"/>
      <c r="L214" s="5"/>
      <c r="M214" s="5"/>
      <c r="N214" s="5"/>
      <c r="O214" s="7" t="s">
        <v>339</v>
      </c>
      <c r="P214" s="5"/>
      <c r="Q214" s="5"/>
      <c r="S214" s="5"/>
      <c r="T214" s="5"/>
      <c r="U214" s="1" t="s">
        <v>210</v>
      </c>
      <c r="V214" s="5"/>
      <c r="W214" s="5"/>
      <c r="X214" s="5"/>
      <c r="Y214" s="5"/>
      <c r="Z214" s="5"/>
    </row>
    <row r="215" customHeight="1" spans="1:26">
      <c r="A215" s="5"/>
      <c r="B215" s="5"/>
      <c r="C215" s="7" t="s">
        <v>340</v>
      </c>
      <c r="D215" s="5"/>
      <c r="E215" s="5"/>
      <c r="F215" s="1" t="s">
        <v>197</v>
      </c>
      <c r="G215" s="5"/>
      <c r="H215" s="5"/>
      <c r="I215" s="5"/>
      <c r="J215" s="5"/>
      <c r="K215" s="5"/>
      <c r="L215" s="5"/>
      <c r="M215" s="5"/>
      <c r="N215" s="5"/>
      <c r="O215" s="7" t="s">
        <v>341</v>
      </c>
      <c r="P215" s="5"/>
      <c r="Q215" s="5"/>
      <c r="S215" s="5"/>
      <c r="T215" s="5"/>
      <c r="U215" s="1" t="s">
        <v>197</v>
      </c>
      <c r="V215" s="5"/>
      <c r="W215" s="5"/>
      <c r="X215" s="5"/>
      <c r="Y215" s="5"/>
      <c r="Z215" s="5"/>
    </row>
    <row r="216" customHeight="1" spans="1:26">
      <c r="A216" s="5"/>
      <c r="B216" s="5"/>
      <c r="C216" s="1" t="s">
        <v>169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" t="s">
        <v>169</v>
      </c>
      <c r="P216" s="5"/>
      <c r="Q216" s="5"/>
      <c r="S216" s="5"/>
      <c r="T216" s="5"/>
      <c r="U216" s="5"/>
      <c r="V216" s="5"/>
      <c r="W216" s="5"/>
      <c r="X216" s="5"/>
      <c r="Y216" s="5"/>
      <c r="Z216" s="5"/>
    </row>
    <row r="217" customHeight="1" spans="1:26">
      <c r="A217" s="5"/>
      <c r="B217" s="5"/>
      <c r="C217" s="7" t="s">
        <v>342</v>
      </c>
      <c r="D217" s="5"/>
      <c r="E217" s="5"/>
      <c r="F217" s="1" t="s">
        <v>202</v>
      </c>
      <c r="G217" s="5"/>
      <c r="H217" s="5"/>
      <c r="I217" s="5"/>
      <c r="J217" s="5"/>
      <c r="K217" s="5"/>
      <c r="L217" s="5"/>
      <c r="M217" s="5"/>
      <c r="N217" s="5"/>
      <c r="O217" s="7" t="s">
        <v>343</v>
      </c>
      <c r="P217" s="5"/>
      <c r="Q217" s="5"/>
      <c r="S217" s="5"/>
      <c r="T217" s="5"/>
      <c r="U217" s="1" t="s">
        <v>202</v>
      </c>
      <c r="V217" s="5"/>
      <c r="W217" s="5"/>
      <c r="X217" s="5"/>
      <c r="Y217" s="5"/>
      <c r="Z217" s="5"/>
    </row>
    <row r="218" customHeight="1" spans="1:26">
      <c r="A218" s="5"/>
      <c r="B218" s="5"/>
      <c r="C218" s="1" t="s">
        <v>172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" t="s">
        <v>172</v>
      </c>
      <c r="P218" s="5"/>
      <c r="Q218" s="5"/>
      <c r="S218" s="5"/>
      <c r="T218" s="5"/>
      <c r="U218" s="5"/>
      <c r="V218" s="5"/>
      <c r="W218" s="5"/>
      <c r="X218" s="5"/>
      <c r="Y218" s="5"/>
      <c r="Z218" s="5"/>
    </row>
    <row r="219" customHeight="1" spans="1:26">
      <c r="A219" s="5"/>
      <c r="B219" s="1"/>
      <c r="C219" s="7" t="s">
        <v>157</v>
      </c>
      <c r="D219" s="5"/>
      <c r="E219" s="5"/>
      <c r="F219" s="1" t="s">
        <v>202</v>
      </c>
      <c r="G219" s="5"/>
      <c r="H219" s="5"/>
      <c r="I219" s="5"/>
      <c r="J219" s="5"/>
      <c r="K219" s="5"/>
      <c r="L219" s="5"/>
      <c r="M219" s="5"/>
      <c r="N219" s="1"/>
      <c r="O219" s="7" t="s">
        <v>344</v>
      </c>
      <c r="P219" s="5"/>
      <c r="Q219" s="5"/>
      <c r="S219" s="5"/>
      <c r="T219" s="5"/>
      <c r="U219" s="1" t="s">
        <v>202</v>
      </c>
      <c r="V219" s="5"/>
      <c r="W219" s="5"/>
      <c r="X219" s="5"/>
      <c r="Y219" s="5"/>
      <c r="Z219" s="5"/>
    </row>
    <row r="220" customHeight="1" spans="1:26">
      <c r="A220" s="5"/>
      <c r="B220" s="1" t="s">
        <v>173</v>
      </c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1" t="s">
        <v>173</v>
      </c>
      <c r="O220" s="5"/>
      <c r="P220" s="5"/>
      <c r="Q220" s="5"/>
      <c r="S220" s="5"/>
      <c r="T220" s="5"/>
      <c r="U220" s="5"/>
      <c r="V220" s="5"/>
      <c r="W220" s="5"/>
      <c r="X220" s="5"/>
      <c r="Y220" s="5"/>
      <c r="Z220" s="5"/>
    </row>
    <row r="221" customHeight="1" spans="1:26">
      <c r="A221" s="5"/>
      <c r="B221" s="7" t="s">
        <v>174</v>
      </c>
      <c r="C221" s="5"/>
      <c r="D221" s="5"/>
      <c r="E221" s="5"/>
      <c r="F221" s="1" t="s">
        <v>165</v>
      </c>
      <c r="G221" s="5"/>
      <c r="H221" s="5"/>
      <c r="I221" s="5"/>
      <c r="J221" s="5"/>
      <c r="K221" s="5"/>
      <c r="L221" s="5"/>
      <c r="M221" s="5"/>
      <c r="N221" s="7" t="s">
        <v>174</v>
      </c>
      <c r="O221" s="5"/>
      <c r="P221" s="5"/>
      <c r="Q221" s="5"/>
      <c r="S221" s="5"/>
      <c r="T221" s="5"/>
      <c r="U221" s="1" t="s">
        <v>345</v>
      </c>
      <c r="V221" s="5"/>
      <c r="W221" s="5"/>
      <c r="X221" s="5"/>
      <c r="Y221" s="5"/>
      <c r="Z221" s="5"/>
    </row>
    <row r="222" customHeight="1" spans="1:26">
      <c r="A222" s="5"/>
      <c r="B222" s="6" t="s">
        <v>104</v>
      </c>
      <c r="C222" s="5"/>
      <c r="D222" s="5"/>
      <c r="E222" s="5"/>
      <c r="F222" s="1" t="s">
        <v>197</v>
      </c>
      <c r="G222" s="5"/>
      <c r="H222" s="5"/>
      <c r="I222" s="5"/>
      <c r="J222" s="5"/>
      <c r="K222" s="5"/>
      <c r="L222" s="5"/>
      <c r="M222" s="5"/>
      <c r="N222" s="6" t="s">
        <v>104</v>
      </c>
      <c r="O222" s="5"/>
      <c r="P222" s="5"/>
      <c r="Q222" s="5"/>
      <c r="S222" s="5"/>
      <c r="T222" s="5"/>
      <c r="U222" s="1" t="s">
        <v>197</v>
      </c>
      <c r="V222" s="5"/>
      <c r="W222" s="5"/>
      <c r="X222" s="5"/>
      <c r="Y222" s="5"/>
      <c r="Z222" s="5"/>
    </row>
    <row r="223" customHeight="1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Height="1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Height="1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Height="1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Height="1" spans="1:26">
      <c r="A227" s="5"/>
      <c r="B227" s="6" t="s">
        <v>346</v>
      </c>
      <c r="C227" s="5"/>
      <c r="D227" s="5"/>
      <c r="E227" s="5"/>
      <c r="F227" s="5"/>
      <c r="G227" s="5"/>
      <c r="H227" s="5"/>
      <c r="I227" s="5"/>
      <c r="J227" s="5"/>
      <c r="K227" s="5"/>
      <c r="L227" s="6" t="s">
        <v>346</v>
      </c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Height="1" spans="1:26">
      <c r="A228" s="5"/>
      <c r="B228" s="7" t="s">
        <v>347</v>
      </c>
      <c r="C228" s="5"/>
      <c r="D228" s="5"/>
      <c r="E228" s="5"/>
      <c r="F228" s="5"/>
      <c r="G228" s="1" t="s">
        <v>197</v>
      </c>
      <c r="H228" s="5"/>
      <c r="I228" s="5"/>
      <c r="J228" s="5"/>
      <c r="K228" s="5"/>
      <c r="L228" s="7" t="s">
        <v>348</v>
      </c>
      <c r="M228" s="5"/>
      <c r="N228" s="5"/>
      <c r="O228" s="5"/>
      <c r="P228" s="5"/>
      <c r="R228" s="5"/>
      <c r="S228" s="5"/>
      <c r="T228" s="5"/>
      <c r="U228" s="1" t="s">
        <v>197</v>
      </c>
      <c r="V228" s="5"/>
      <c r="W228" s="5"/>
      <c r="X228" s="5"/>
      <c r="Y228" s="5"/>
      <c r="Z228" s="5"/>
    </row>
    <row r="229" customHeight="1" spans="1:26">
      <c r="A229" s="5"/>
      <c r="B229" s="1" t="s">
        <v>349</v>
      </c>
      <c r="C229" s="5"/>
      <c r="D229" s="5"/>
      <c r="E229" s="5"/>
      <c r="F229" s="5"/>
      <c r="G229" s="5"/>
      <c r="H229" s="5"/>
      <c r="I229" s="5"/>
      <c r="J229" s="5"/>
      <c r="K229" s="5"/>
      <c r="L229" s="1" t="s">
        <v>349</v>
      </c>
      <c r="M229" s="5"/>
      <c r="N229" s="5"/>
      <c r="O229" s="5"/>
      <c r="P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Height="1" spans="1:26">
      <c r="A230" s="5"/>
      <c r="B230" s="7" t="s">
        <v>350</v>
      </c>
      <c r="D230" s="5"/>
      <c r="E230" s="5"/>
      <c r="F230" s="5"/>
      <c r="G230" s="1" t="s">
        <v>202</v>
      </c>
      <c r="H230" s="5"/>
      <c r="I230" s="5"/>
      <c r="J230" s="5"/>
      <c r="K230" s="5"/>
      <c r="L230" s="7" t="s">
        <v>351</v>
      </c>
      <c r="N230" s="5"/>
      <c r="O230" s="5"/>
      <c r="P230" s="5"/>
      <c r="R230" s="5"/>
      <c r="S230" s="5"/>
      <c r="T230" s="5"/>
      <c r="U230" s="1" t="s">
        <v>202</v>
      </c>
      <c r="V230" s="5"/>
      <c r="W230" s="5"/>
      <c r="X230" s="5"/>
      <c r="Y230" s="5"/>
      <c r="Z230" s="5"/>
    </row>
    <row r="231" customHeight="1" spans="1:26">
      <c r="A231" s="5"/>
      <c r="B231" s="1" t="s">
        <v>154</v>
      </c>
      <c r="C231" s="5"/>
      <c r="D231" s="5"/>
      <c r="E231" s="5"/>
      <c r="F231" s="5"/>
      <c r="G231" s="5"/>
      <c r="H231" s="5"/>
      <c r="I231" s="5"/>
      <c r="J231" s="5"/>
      <c r="K231" s="5"/>
      <c r="L231" s="1" t="s">
        <v>154</v>
      </c>
      <c r="M231" s="5"/>
      <c r="N231" s="5"/>
      <c r="O231" s="5"/>
      <c r="P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Height="1" spans="1:26">
      <c r="A232" s="5"/>
      <c r="B232" s="7" t="s">
        <v>352</v>
      </c>
      <c r="D232" s="5"/>
      <c r="E232" s="5"/>
      <c r="F232" s="5"/>
      <c r="G232" s="1" t="s">
        <v>202</v>
      </c>
      <c r="H232" s="5"/>
      <c r="I232" s="5"/>
      <c r="J232" s="5"/>
      <c r="K232" s="5"/>
      <c r="L232" s="7" t="s">
        <v>353</v>
      </c>
      <c r="N232" s="5"/>
      <c r="O232" s="5"/>
      <c r="P232" s="5"/>
      <c r="R232" s="5"/>
      <c r="S232" s="5"/>
      <c r="T232" s="5"/>
      <c r="U232" s="1" t="s">
        <v>202</v>
      </c>
      <c r="V232" s="5"/>
      <c r="W232" s="5"/>
      <c r="X232" s="5"/>
      <c r="Y232" s="5"/>
      <c r="Z232" s="5"/>
    </row>
    <row r="233" customHeight="1" spans="1:26">
      <c r="A233" s="5"/>
      <c r="B233" s="1" t="s">
        <v>354</v>
      </c>
      <c r="C233" s="5"/>
      <c r="D233" s="5"/>
      <c r="E233" s="5"/>
      <c r="F233" s="5"/>
      <c r="G233" s="5"/>
      <c r="H233" s="5"/>
      <c r="I233" s="5"/>
      <c r="J233" s="5"/>
      <c r="K233" s="5"/>
      <c r="L233" s="1" t="s">
        <v>354</v>
      </c>
      <c r="M233" s="5"/>
      <c r="N233" s="5"/>
      <c r="O233" s="5"/>
      <c r="P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Height="1" spans="1:26">
      <c r="A234" s="5"/>
      <c r="C234" s="7" t="s">
        <v>355</v>
      </c>
      <c r="D234" s="5"/>
      <c r="E234" s="5"/>
      <c r="F234" s="5"/>
      <c r="G234" s="1" t="s">
        <v>210</v>
      </c>
      <c r="H234" s="5"/>
      <c r="I234" s="5"/>
      <c r="J234" s="5"/>
      <c r="K234" s="5"/>
      <c r="M234" s="7" t="s">
        <v>356</v>
      </c>
      <c r="N234" s="5"/>
      <c r="O234" s="5"/>
      <c r="P234" s="5"/>
      <c r="R234" s="5"/>
      <c r="S234" s="5"/>
      <c r="T234" s="5"/>
      <c r="U234" s="1" t="s">
        <v>210</v>
      </c>
      <c r="V234" s="5"/>
      <c r="W234" s="5"/>
      <c r="X234" s="5"/>
      <c r="Y234" s="5"/>
      <c r="Z234" s="5"/>
    </row>
    <row r="235" customHeight="1" spans="1:26">
      <c r="A235" s="5"/>
      <c r="C235" s="7" t="s">
        <v>357</v>
      </c>
      <c r="D235" s="5"/>
      <c r="E235" s="5"/>
      <c r="F235" s="5"/>
      <c r="G235" s="1" t="s">
        <v>197</v>
      </c>
      <c r="H235" s="5"/>
      <c r="I235" s="5"/>
      <c r="J235" s="5"/>
      <c r="K235" s="5"/>
      <c r="M235" s="7" t="s">
        <v>358</v>
      </c>
      <c r="N235" s="5"/>
      <c r="O235" s="5"/>
      <c r="P235" s="5"/>
      <c r="R235" s="5"/>
      <c r="S235" s="5"/>
      <c r="T235" s="5"/>
      <c r="U235" s="1" t="s">
        <v>197</v>
      </c>
      <c r="V235" s="5"/>
      <c r="W235" s="5"/>
      <c r="X235" s="5"/>
      <c r="Y235" s="5"/>
      <c r="Z235" s="5"/>
    </row>
    <row r="236" customHeight="1" spans="1:26">
      <c r="A236" s="5"/>
      <c r="B236" s="5"/>
      <c r="C236" s="1" t="s">
        <v>359</v>
      </c>
      <c r="D236" s="5"/>
      <c r="E236" s="5"/>
      <c r="F236" s="5"/>
      <c r="G236" s="5"/>
      <c r="H236" s="5"/>
      <c r="I236" s="5"/>
      <c r="J236" s="5"/>
      <c r="K236" s="5"/>
      <c r="L236" s="5"/>
      <c r="M236" s="1" t="s">
        <v>359</v>
      </c>
      <c r="N236" s="5"/>
      <c r="O236" s="5"/>
      <c r="P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Height="1" spans="1:26">
      <c r="A237" s="5"/>
      <c r="C237" s="7" t="s">
        <v>360</v>
      </c>
      <c r="D237" s="5"/>
      <c r="E237" s="5"/>
      <c r="F237" s="5"/>
      <c r="G237" s="1" t="s">
        <v>202</v>
      </c>
      <c r="H237" s="5"/>
      <c r="I237" s="5"/>
      <c r="J237" s="5"/>
      <c r="K237" s="5"/>
      <c r="M237" s="7" t="s">
        <v>361</v>
      </c>
      <c r="N237" s="5"/>
      <c r="O237" s="5"/>
      <c r="P237" s="5"/>
      <c r="R237" s="5"/>
      <c r="S237" s="5"/>
      <c r="T237" s="5"/>
      <c r="U237" s="1" t="s">
        <v>202</v>
      </c>
      <c r="V237" s="5"/>
      <c r="W237" s="5"/>
      <c r="X237" s="5"/>
      <c r="Y237" s="5"/>
      <c r="Z237" s="5"/>
    </row>
    <row r="238" customHeight="1" spans="1:26">
      <c r="A238" s="5"/>
      <c r="B238" s="5"/>
      <c r="C238" s="1" t="s">
        <v>362</v>
      </c>
      <c r="D238" s="5"/>
      <c r="E238" s="5"/>
      <c r="F238" s="5"/>
      <c r="G238" s="5"/>
      <c r="H238" s="5"/>
      <c r="I238" s="5"/>
      <c r="J238" s="5"/>
      <c r="K238" s="5"/>
      <c r="L238" s="5"/>
      <c r="M238" s="1" t="s">
        <v>362</v>
      </c>
      <c r="N238" s="5"/>
      <c r="O238" s="5"/>
      <c r="P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Height="1" spans="1:26">
      <c r="A239" s="5"/>
      <c r="C239" s="7" t="s">
        <v>363</v>
      </c>
      <c r="D239" s="5"/>
      <c r="E239" s="5"/>
      <c r="F239" s="5"/>
      <c r="G239" s="1" t="s">
        <v>202</v>
      </c>
      <c r="H239" s="5"/>
      <c r="I239" s="5"/>
      <c r="J239" s="5"/>
      <c r="K239" s="5"/>
      <c r="L239" s="1"/>
      <c r="M239" s="7" t="s">
        <v>364</v>
      </c>
      <c r="N239" s="5"/>
      <c r="O239" s="5"/>
      <c r="P239" s="5"/>
      <c r="R239" s="5"/>
      <c r="S239" s="5"/>
      <c r="T239" s="5"/>
      <c r="U239" s="1" t="s">
        <v>202</v>
      </c>
      <c r="V239" s="5"/>
      <c r="W239" s="5"/>
      <c r="X239" s="5"/>
      <c r="Y239" s="5"/>
      <c r="Z239" s="5"/>
    </row>
    <row r="240" customHeight="1" spans="1:26">
      <c r="A240" s="5"/>
      <c r="B240" s="1"/>
      <c r="C240" s="7" t="s">
        <v>363</v>
      </c>
      <c r="D240" s="5"/>
      <c r="E240" s="5"/>
      <c r="F240" s="5"/>
      <c r="G240" s="1" t="s">
        <v>197</v>
      </c>
      <c r="H240" s="5"/>
      <c r="I240" s="5"/>
      <c r="J240" s="5"/>
      <c r="K240" s="5"/>
      <c r="L240" s="1" t="s">
        <v>173</v>
      </c>
      <c r="M240" s="5"/>
      <c r="N240" s="5"/>
      <c r="O240" s="5"/>
      <c r="P240" s="5"/>
      <c r="R240" s="5"/>
      <c r="S240" s="5"/>
      <c r="T240" s="5"/>
      <c r="U240" s="1"/>
      <c r="V240" s="5"/>
      <c r="W240" s="5"/>
      <c r="X240" s="5"/>
      <c r="Y240" s="5"/>
      <c r="Z240" s="5"/>
    </row>
    <row r="241" customHeight="1" spans="1:26">
      <c r="A241" s="5"/>
      <c r="B241" s="1" t="s">
        <v>173</v>
      </c>
      <c r="C241" s="5"/>
      <c r="D241" s="5"/>
      <c r="E241" s="5"/>
      <c r="F241" s="5"/>
      <c r="G241" s="5"/>
      <c r="H241" s="5"/>
      <c r="I241" s="5"/>
      <c r="J241" s="5"/>
      <c r="K241" s="5"/>
      <c r="L241" s="7" t="s">
        <v>365</v>
      </c>
      <c r="M241" s="5"/>
      <c r="N241" s="5"/>
      <c r="O241" s="5"/>
      <c r="P241" s="5"/>
      <c r="R241" s="5"/>
      <c r="S241" s="5"/>
      <c r="T241" s="5"/>
      <c r="U241" s="1" t="s">
        <v>366</v>
      </c>
      <c r="V241" s="5"/>
      <c r="W241" s="5"/>
      <c r="X241" s="5"/>
      <c r="Y241" s="5"/>
      <c r="Z241" s="5"/>
    </row>
    <row r="242" customHeight="1" spans="1:26">
      <c r="A242" s="5"/>
      <c r="B242" s="7" t="s">
        <v>367</v>
      </c>
      <c r="C242" s="5"/>
      <c r="D242" s="5"/>
      <c r="E242" s="5"/>
      <c r="F242" s="5"/>
      <c r="G242" s="1" t="s">
        <v>224</v>
      </c>
      <c r="H242" s="5"/>
      <c r="I242" s="5"/>
      <c r="J242" s="5"/>
      <c r="K242" s="5"/>
      <c r="L242" s="6" t="s">
        <v>368</v>
      </c>
      <c r="M242" s="5"/>
      <c r="N242" s="5"/>
      <c r="O242" s="5"/>
      <c r="P242" s="5"/>
      <c r="R242" s="5"/>
      <c r="S242" s="5"/>
      <c r="T242" s="5"/>
      <c r="V242" s="5"/>
      <c r="W242" s="5"/>
      <c r="X242" s="5"/>
      <c r="Y242" s="5"/>
      <c r="Z242" s="5"/>
    </row>
    <row r="243" customHeight="1" spans="1:26">
      <c r="A243" s="5"/>
      <c r="B243" s="6" t="s">
        <v>368</v>
      </c>
      <c r="C243" s="5"/>
      <c r="D243" s="5"/>
      <c r="E243" s="5"/>
      <c r="F243" s="5"/>
      <c r="G243" s="5"/>
      <c r="H243" s="5"/>
      <c r="I243" s="5"/>
      <c r="J243" s="5"/>
      <c r="K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Height="1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Height="1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Height="1" spans="1:26">
      <c r="A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Height="1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Height="1" spans="1:26">
      <c r="A248" s="5"/>
      <c r="B248" s="6" t="s">
        <v>369</v>
      </c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6" t="s">
        <v>369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Height="1" spans="1:26">
      <c r="A249" s="5"/>
      <c r="B249" s="7" t="s">
        <v>370</v>
      </c>
      <c r="C249" s="5"/>
      <c r="D249" s="5"/>
      <c r="E249" s="5"/>
      <c r="F249" s="5"/>
      <c r="G249" s="5"/>
      <c r="H249" s="5"/>
      <c r="I249" s="1" t="s">
        <v>197</v>
      </c>
      <c r="J249" s="5"/>
      <c r="K249" s="5"/>
      <c r="L249" s="5"/>
      <c r="M249" s="5"/>
      <c r="N249" s="5"/>
      <c r="O249" s="5"/>
      <c r="P249" s="7" t="s">
        <v>371</v>
      </c>
      <c r="Q249" s="5"/>
      <c r="R249" s="5"/>
      <c r="S249" s="5"/>
      <c r="T249" s="5"/>
      <c r="U249" s="5"/>
      <c r="V249" s="5"/>
      <c r="X249" s="5"/>
      <c r="Y249" s="5"/>
      <c r="Z249" s="1" t="s">
        <v>197</v>
      </c>
    </row>
    <row r="250" customHeight="1" spans="1:26">
      <c r="A250" s="5"/>
      <c r="B250" s="1" t="s">
        <v>372</v>
      </c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1" t="s">
        <v>372</v>
      </c>
      <c r="Q250" s="5"/>
      <c r="R250" s="5"/>
      <c r="S250" s="5"/>
      <c r="T250" s="5"/>
      <c r="U250" s="5"/>
      <c r="V250" s="5"/>
      <c r="X250" s="5"/>
      <c r="Y250" s="5"/>
      <c r="Z250" s="5"/>
    </row>
    <row r="251" customHeight="1" spans="1:26">
      <c r="A251" s="5"/>
      <c r="B251" s="7" t="s">
        <v>373</v>
      </c>
      <c r="C251" s="5"/>
      <c r="D251" s="5"/>
      <c r="E251" s="5"/>
      <c r="F251" s="5"/>
      <c r="G251" s="5"/>
      <c r="H251" s="5"/>
      <c r="I251" s="1" t="s">
        <v>202</v>
      </c>
      <c r="J251" s="5"/>
      <c r="K251" s="5"/>
      <c r="L251" s="5"/>
      <c r="M251" s="5"/>
      <c r="N251" s="5"/>
      <c r="O251" s="5"/>
      <c r="P251" s="7" t="s">
        <v>374</v>
      </c>
      <c r="Q251" s="5"/>
      <c r="R251" s="5"/>
      <c r="S251" s="5"/>
      <c r="T251" s="5"/>
      <c r="U251" s="5"/>
      <c r="V251" s="5"/>
      <c r="X251" s="5"/>
      <c r="Y251" s="5"/>
      <c r="Z251" s="1" t="s">
        <v>202</v>
      </c>
    </row>
    <row r="252" customHeight="1" spans="1:26">
      <c r="A252" s="5"/>
      <c r="B252" s="1" t="s">
        <v>375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1" t="s">
        <v>375</v>
      </c>
      <c r="Q252" s="5"/>
      <c r="R252" s="5"/>
      <c r="S252" s="5"/>
      <c r="T252" s="5"/>
      <c r="U252" s="5"/>
      <c r="V252" s="5"/>
      <c r="X252" s="5"/>
      <c r="Y252" s="5"/>
      <c r="Z252" s="5"/>
    </row>
    <row r="253" customHeight="1" spans="1:26">
      <c r="A253" s="5"/>
      <c r="B253" s="7" t="s">
        <v>376</v>
      </c>
      <c r="C253" s="5"/>
      <c r="D253" s="5"/>
      <c r="E253" s="5"/>
      <c r="F253" s="5"/>
      <c r="G253" s="5"/>
      <c r="H253" s="5"/>
      <c r="I253" s="1" t="s">
        <v>202</v>
      </c>
      <c r="J253" s="5"/>
      <c r="K253" s="5"/>
      <c r="L253" s="5"/>
      <c r="M253" s="5"/>
      <c r="N253" s="5"/>
      <c r="O253" s="5"/>
      <c r="P253" s="7" t="s">
        <v>377</v>
      </c>
      <c r="Q253" s="5"/>
      <c r="R253" s="5"/>
      <c r="S253" s="5"/>
      <c r="T253" s="5"/>
      <c r="U253" s="5"/>
      <c r="V253" s="5"/>
      <c r="X253" s="5"/>
      <c r="Y253" s="5"/>
      <c r="Z253" s="1" t="s">
        <v>202</v>
      </c>
    </row>
    <row r="254" customHeight="1" spans="1:26">
      <c r="A254" s="5"/>
      <c r="B254" s="1" t="s">
        <v>378</v>
      </c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1" t="s">
        <v>378</v>
      </c>
      <c r="Q254" s="5"/>
      <c r="R254" s="5"/>
      <c r="S254" s="5"/>
      <c r="T254" s="5"/>
      <c r="U254" s="5"/>
      <c r="V254" s="5"/>
      <c r="X254" s="5"/>
      <c r="Y254" s="5"/>
      <c r="Z254" s="5"/>
    </row>
    <row r="255" customHeight="1" spans="1:26">
      <c r="A255" s="5"/>
      <c r="B255" s="5"/>
      <c r="C255" s="7" t="s">
        <v>379</v>
      </c>
      <c r="D255" s="5"/>
      <c r="E255" s="5"/>
      <c r="F255" s="5"/>
      <c r="G255" s="5"/>
      <c r="H255" s="5"/>
      <c r="I255" s="1" t="s">
        <v>210</v>
      </c>
      <c r="J255" s="5"/>
      <c r="K255" s="5"/>
      <c r="L255" s="5"/>
      <c r="M255" s="5"/>
      <c r="N255" s="5"/>
      <c r="O255" s="5"/>
      <c r="P255" s="5"/>
      <c r="Q255" s="7" t="s">
        <v>380</v>
      </c>
      <c r="R255" s="5"/>
      <c r="S255" s="5"/>
      <c r="T255" s="5"/>
      <c r="U255" s="5"/>
      <c r="V255" s="5"/>
      <c r="X255" s="5"/>
      <c r="Y255" s="5"/>
      <c r="Z255" s="1" t="s">
        <v>210</v>
      </c>
    </row>
    <row r="256" customHeight="1" spans="1:26">
      <c r="A256" s="5"/>
      <c r="B256" s="5"/>
      <c r="C256" s="1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1"/>
      <c r="R256" s="5"/>
      <c r="S256" s="5"/>
      <c r="T256" s="5"/>
      <c r="U256" s="5"/>
      <c r="V256" s="5"/>
      <c r="X256" s="5"/>
      <c r="Y256" s="5"/>
      <c r="Z256" s="5"/>
    </row>
    <row r="257" customHeight="1" spans="1:26">
      <c r="A257" s="5"/>
      <c r="B257" s="5"/>
      <c r="C257" s="1" t="s">
        <v>381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1" t="s">
        <v>381</v>
      </c>
      <c r="R257" s="5"/>
      <c r="S257" s="5"/>
      <c r="T257" s="5"/>
      <c r="U257" s="5"/>
      <c r="V257" s="5"/>
      <c r="X257" s="5"/>
      <c r="Y257" s="5"/>
      <c r="Z257" s="5"/>
    </row>
    <row r="258" customHeight="1" spans="1:26">
      <c r="A258" s="5"/>
      <c r="B258" s="5"/>
      <c r="C258" s="1"/>
      <c r="D258" s="7" t="s">
        <v>382</v>
      </c>
      <c r="E258" s="5"/>
      <c r="F258" s="5"/>
      <c r="G258" s="5"/>
      <c r="H258" s="5"/>
      <c r="I258" s="1" t="s">
        <v>273</v>
      </c>
      <c r="J258" s="5"/>
      <c r="K258" s="5"/>
      <c r="L258" s="5"/>
      <c r="M258" s="5"/>
      <c r="N258" s="5"/>
      <c r="O258" s="5"/>
      <c r="P258" s="5"/>
      <c r="Q258" s="1"/>
      <c r="R258" s="7" t="s">
        <v>383</v>
      </c>
      <c r="S258" s="5"/>
      <c r="T258" s="5"/>
      <c r="U258" s="5"/>
      <c r="V258" s="5"/>
      <c r="X258" s="5"/>
      <c r="Y258" s="5"/>
      <c r="Z258" s="1" t="s">
        <v>273</v>
      </c>
    </row>
    <row r="259" customHeight="1" spans="1:26">
      <c r="A259" s="5"/>
      <c r="B259" s="5"/>
      <c r="C259" s="5"/>
      <c r="D259" s="7" t="s">
        <v>384</v>
      </c>
      <c r="E259" s="5"/>
      <c r="F259" s="5"/>
      <c r="G259" s="5"/>
      <c r="H259" s="5"/>
      <c r="I259" s="1" t="s">
        <v>197</v>
      </c>
      <c r="J259" s="5"/>
      <c r="K259" s="5"/>
      <c r="L259" s="5"/>
      <c r="M259" s="5"/>
      <c r="N259" s="5"/>
      <c r="O259" s="5"/>
      <c r="P259" s="5"/>
      <c r="Q259" s="5"/>
      <c r="R259" s="7" t="s">
        <v>385</v>
      </c>
      <c r="S259" s="5"/>
      <c r="T259" s="5"/>
      <c r="U259" s="5"/>
      <c r="V259" s="5"/>
      <c r="X259" s="5"/>
      <c r="Y259" s="5"/>
      <c r="Z259" s="1" t="s">
        <v>197</v>
      </c>
    </row>
    <row r="260" customHeight="1" spans="1:26">
      <c r="A260" s="5"/>
      <c r="B260" s="5"/>
      <c r="C260" s="5"/>
      <c r="D260" s="1" t="s">
        <v>386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1" t="s">
        <v>386</v>
      </c>
      <c r="S260" s="5"/>
      <c r="T260" s="5"/>
      <c r="U260" s="5"/>
      <c r="V260" s="5"/>
      <c r="X260" s="5"/>
      <c r="Y260" s="5"/>
      <c r="Z260" s="5"/>
    </row>
    <row r="261" customHeight="1" spans="1:26">
      <c r="A261" s="5"/>
      <c r="B261" s="5"/>
      <c r="C261" s="5"/>
      <c r="D261" s="9" t="s">
        <v>387</v>
      </c>
      <c r="E261" s="5"/>
      <c r="F261" s="5"/>
      <c r="G261" s="5"/>
      <c r="H261" s="5"/>
      <c r="I261" s="1" t="s">
        <v>202</v>
      </c>
      <c r="J261" s="5"/>
      <c r="K261" s="5"/>
      <c r="L261" s="5"/>
      <c r="M261" s="5"/>
      <c r="N261" s="5"/>
      <c r="O261" s="5"/>
      <c r="P261" s="5"/>
      <c r="Q261" s="5"/>
      <c r="R261" s="9" t="s">
        <v>388</v>
      </c>
      <c r="S261" s="5"/>
      <c r="T261" s="5"/>
      <c r="U261" s="5"/>
      <c r="V261" s="5"/>
      <c r="X261" s="5"/>
      <c r="Y261" s="5"/>
      <c r="Z261" s="1" t="s">
        <v>202</v>
      </c>
    </row>
    <row r="262" customHeight="1" spans="1:26">
      <c r="A262" s="5"/>
      <c r="B262" s="5"/>
      <c r="C262" s="1" t="s">
        <v>173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1" t="s">
        <v>173</v>
      </c>
      <c r="R262" s="5"/>
      <c r="S262" s="5"/>
      <c r="T262" s="5"/>
      <c r="U262" s="5"/>
      <c r="V262" s="5"/>
      <c r="X262" s="5"/>
      <c r="Y262" s="5"/>
      <c r="Z262" s="5"/>
    </row>
    <row r="263" customHeight="1" spans="1:26">
      <c r="A263" s="5"/>
      <c r="B263" s="5"/>
      <c r="C263" s="1" t="s">
        <v>255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1" t="s">
        <v>255</v>
      </c>
      <c r="R263" s="5"/>
      <c r="S263" s="5"/>
      <c r="T263" s="5"/>
      <c r="U263" s="5"/>
      <c r="V263" s="5"/>
      <c r="X263" s="5"/>
      <c r="Y263" s="5"/>
      <c r="Z263" s="5"/>
    </row>
    <row r="264" customHeight="1" spans="1:26">
      <c r="A264" s="5"/>
      <c r="B264" s="5"/>
      <c r="C264" s="5"/>
      <c r="D264" s="7" t="s">
        <v>389</v>
      </c>
      <c r="E264" s="5"/>
      <c r="F264" s="5"/>
      <c r="G264" s="5"/>
      <c r="H264" s="5"/>
      <c r="I264" s="1" t="s">
        <v>273</v>
      </c>
      <c r="J264" s="5"/>
      <c r="K264" s="5"/>
      <c r="L264" s="5"/>
      <c r="M264" s="5"/>
      <c r="N264" s="5"/>
      <c r="O264" s="5"/>
      <c r="P264" s="5"/>
      <c r="Q264" s="5"/>
      <c r="R264" s="7" t="s">
        <v>390</v>
      </c>
      <c r="S264" s="5"/>
      <c r="T264" s="5"/>
      <c r="U264" s="5"/>
      <c r="V264" s="5"/>
      <c r="X264" s="5"/>
      <c r="Y264" s="5"/>
      <c r="Z264" s="1" t="s">
        <v>273</v>
      </c>
    </row>
    <row r="265" customHeight="1" spans="1:26">
      <c r="A265" s="5"/>
      <c r="B265" s="5"/>
      <c r="C265" s="5"/>
      <c r="D265" s="9" t="s">
        <v>387</v>
      </c>
      <c r="E265" s="5"/>
      <c r="F265" s="5"/>
      <c r="G265" s="5"/>
      <c r="H265" s="5"/>
      <c r="I265" s="1" t="s">
        <v>197</v>
      </c>
      <c r="J265" s="5"/>
      <c r="K265" s="5"/>
      <c r="L265" s="5"/>
      <c r="M265" s="5"/>
      <c r="N265" s="5"/>
      <c r="O265" s="5"/>
      <c r="P265" s="5"/>
      <c r="Q265" s="5"/>
      <c r="R265" s="9" t="s">
        <v>388</v>
      </c>
      <c r="S265" s="5"/>
      <c r="T265" s="5"/>
      <c r="U265" s="5"/>
      <c r="V265" s="5"/>
      <c r="X265" s="5"/>
      <c r="Y265" s="5"/>
      <c r="Z265" s="1" t="s">
        <v>197</v>
      </c>
    </row>
    <row r="266" customHeight="1" spans="1:26">
      <c r="A266" s="5"/>
      <c r="B266" s="5"/>
      <c r="C266" s="1" t="s">
        <v>173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1" t="s">
        <v>173</v>
      </c>
      <c r="R266" s="5"/>
      <c r="S266" s="5"/>
      <c r="T266" s="5"/>
      <c r="U266" s="5"/>
      <c r="V266" s="5"/>
      <c r="X266" s="5"/>
      <c r="Y266" s="5"/>
      <c r="Z266" s="5"/>
    </row>
    <row r="267" customHeight="1" spans="1:26">
      <c r="A267" s="5"/>
      <c r="B267" s="5"/>
      <c r="C267" s="7" t="s">
        <v>387</v>
      </c>
      <c r="D267" s="5"/>
      <c r="E267" s="5"/>
      <c r="F267" s="5"/>
      <c r="G267" s="5"/>
      <c r="H267" s="5"/>
      <c r="I267" s="1" t="s">
        <v>273</v>
      </c>
      <c r="J267" s="5"/>
      <c r="K267" s="5"/>
      <c r="L267" s="5"/>
      <c r="M267" s="5"/>
      <c r="N267" s="5"/>
      <c r="O267" s="5"/>
      <c r="P267" s="5"/>
      <c r="Q267" s="7" t="s">
        <v>388</v>
      </c>
      <c r="R267" s="5"/>
      <c r="S267" s="5"/>
      <c r="T267" s="5"/>
      <c r="U267" s="5"/>
      <c r="V267" s="5"/>
      <c r="X267" s="5"/>
      <c r="Y267" s="5"/>
      <c r="Z267" s="1" t="s">
        <v>273</v>
      </c>
    </row>
    <row r="268" customHeight="1" spans="1:26">
      <c r="A268" s="5"/>
      <c r="B268" s="5"/>
      <c r="C268" s="1" t="s">
        <v>391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1" t="s">
        <v>391</v>
      </c>
      <c r="R268" s="5"/>
      <c r="S268" s="5"/>
      <c r="T268" s="5"/>
      <c r="U268" s="5"/>
      <c r="V268" s="5"/>
      <c r="X268" s="5"/>
      <c r="Y268" s="5"/>
      <c r="Z268" s="5"/>
    </row>
    <row r="269" customHeight="1" spans="1:26">
      <c r="A269" s="5"/>
      <c r="B269" s="1"/>
      <c r="C269" s="7" t="s">
        <v>376</v>
      </c>
      <c r="D269" s="5"/>
      <c r="E269" s="5"/>
      <c r="F269" s="5"/>
      <c r="G269" s="5"/>
      <c r="H269" s="5"/>
      <c r="I269" s="1" t="s">
        <v>202</v>
      </c>
      <c r="J269" s="5"/>
      <c r="K269" s="5"/>
      <c r="L269" s="5"/>
      <c r="M269" s="5"/>
      <c r="N269" s="5"/>
      <c r="O269" s="5"/>
      <c r="P269" s="1"/>
      <c r="Q269" s="7" t="s">
        <v>392</v>
      </c>
      <c r="R269" s="5"/>
      <c r="S269" s="5"/>
      <c r="T269" s="5"/>
      <c r="U269" s="5"/>
      <c r="V269" s="5"/>
      <c r="X269" s="5"/>
      <c r="Y269" s="5"/>
      <c r="Z269" s="1" t="s">
        <v>202</v>
      </c>
    </row>
    <row r="270" customHeight="1" spans="1:26">
      <c r="A270" s="5"/>
      <c r="B270" s="1" t="s">
        <v>173</v>
      </c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1" t="s">
        <v>173</v>
      </c>
      <c r="Q270" s="5"/>
      <c r="R270" s="5"/>
      <c r="S270" s="5"/>
      <c r="T270" s="5"/>
      <c r="U270" s="5"/>
      <c r="V270" s="5"/>
      <c r="X270" s="5"/>
      <c r="Y270" s="5"/>
      <c r="Z270" s="5"/>
    </row>
    <row r="271" customHeight="1" spans="1:26">
      <c r="A271" s="5"/>
      <c r="B271" s="7" t="s">
        <v>393</v>
      </c>
      <c r="C271" s="5"/>
      <c r="D271" s="5"/>
      <c r="E271" s="5"/>
      <c r="F271" s="5"/>
      <c r="G271" s="5"/>
      <c r="H271" s="5"/>
      <c r="I271" s="1" t="s">
        <v>224</v>
      </c>
      <c r="J271" s="5"/>
      <c r="K271" s="5"/>
      <c r="L271" s="5"/>
      <c r="M271" s="5"/>
      <c r="N271" s="5"/>
      <c r="O271" s="5"/>
      <c r="P271" s="7" t="s">
        <v>394</v>
      </c>
      <c r="Q271" s="5"/>
      <c r="R271" s="5"/>
      <c r="S271" s="5"/>
      <c r="T271" s="5"/>
      <c r="U271" s="5"/>
      <c r="V271" s="5"/>
      <c r="X271" s="5"/>
      <c r="Y271" s="5"/>
      <c r="Z271" s="1" t="s">
        <v>366</v>
      </c>
    </row>
    <row r="272" customHeight="1" spans="1:26">
      <c r="A272" s="5"/>
      <c r="B272" s="1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15"/>
      <c r="Q272" s="5"/>
      <c r="R272" s="5"/>
      <c r="S272" s="5"/>
      <c r="T272" s="5"/>
      <c r="U272" s="5"/>
      <c r="V272" s="5"/>
      <c r="X272" s="5"/>
      <c r="Y272" s="5"/>
      <c r="Z272" s="5"/>
    </row>
    <row r="273" customHeight="1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X273" s="5"/>
      <c r="Y273" s="5"/>
      <c r="Z273" s="5"/>
    </row>
    <row r="274" customHeight="1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X274" s="5"/>
      <c r="Y274" s="5"/>
      <c r="Z274" s="5"/>
    </row>
    <row r="275" customHeight="1" spans="1:26">
      <c r="A275" s="5"/>
      <c r="B275" s="6" t="s">
        <v>395</v>
      </c>
      <c r="C275" s="5"/>
      <c r="D275" s="5"/>
      <c r="E275" s="5"/>
      <c r="F275" s="5"/>
      <c r="G275" s="5"/>
      <c r="H275" s="5"/>
      <c r="I275" s="1" t="s">
        <v>197</v>
      </c>
      <c r="J275" s="5"/>
      <c r="K275" s="5"/>
      <c r="L275" s="5"/>
      <c r="M275" s="5"/>
      <c r="N275" s="5"/>
      <c r="O275" s="5"/>
      <c r="P275" s="6" t="s">
        <v>395</v>
      </c>
      <c r="Q275" s="5"/>
      <c r="R275" s="5"/>
      <c r="S275" s="5"/>
      <c r="T275" s="5"/>
      <c r="U275" s="5"/>
      <c r="V275" s="5"/>
      <c r="X275" s="5"/>
      <c r="Y275" s="5"/>
      <c r="Z275" s="1" t="s">
        <v>197</v>
      </c>
    </row>
    <row r="276" customHeight="1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Height="1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Height="1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Height="1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Height="1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Height="1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Height="1" spans="1:26">
      <c r="A282" s="5"/>
      <c r="B282" s="6" t="s">
        <v>195</v>
      </c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Height="1" spans="1:26">
      <c r="A283" s="5"/>
      <c r="B283" s="7" t="s">
        <v>396</v>
      </c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Height="1" spans="1:26">
      <c r="A284" s="5"/>
      <c r="B284" s="1" t="s">
        <v>397</v>
      </c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Height="1" spans="1:26">
      <c r="A285" s="5"/>
      <c r="B285" s="7" t="s">
        <v>398</v>
      </c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Height="1" spans="1:26">
      <c r="A286" s="5"/>
      <c r="B286" s="1" t="s">
        <v>399</v>
      </c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Height="1" spans="1:26">
      <c r="A287" s="5"/>
      <c r="B287" s="5"/>
      <c r="C287" s="7" t="s">
        <v>400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Height="1" spans="1:26">
      <c r="A288" s="5"/>
      <c r="B288" s="5"/>
      <c r="C288" s="7" t="s">
        <v>401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Height="1" spans="1:26">
      <c r="A289" s="5"/>
      <c r="C289" s="1" t="s">
        <v>402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Height="1" spans="1:26">
      <c r="A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Height="1" spans="1:26">
      <c r="A291" s="5"/>
      <c r="B291" s="1"/>
      <c r="C291" s="7" t="s">
        <v>403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Height="1" spans="1:26">
      <c r="A292" s="5"/>
      <c r="B292" s="1" t="s">
        <v>173</v>
      </c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Height="1" spans="1:26">
      <c r="A293" s="5"/>
      <c r="B293" s="7" t="s">
        <v>404</v>
      </c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Height="1" spans="1:26">
      <c r="A294" s="5"/>
      <c r="B294" s="6" t="s">
        <v>405</v>
      </c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Height="1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Height="1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Height="1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Height="1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Height="1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Height="1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Height="1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Height="1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Height="1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Height="1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Height="1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Height="1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Height="1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Height="1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Height="1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Height="1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Height="1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Height="1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Height="1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Height="1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Height="1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Height="1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Height="1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Height="1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Height="1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Height="1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Height="1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Height="1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Height="1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Height="1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Height="1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Height="1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Height="1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Height="1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Height="1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Height="1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Height="1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Height="1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Height="1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Height="1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Height="1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Height="1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Height="1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Height="1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Height="1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Height="1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Height="1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Height="1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Height="1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Height="1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Height="1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Height="1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Height="1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Height="1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Height="1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Height="1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Height="1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Height="1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Height="1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Height="1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Height="1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Height="1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Height="1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Height="1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Height="1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Height="1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Height="1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Height="1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Height="1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Height="1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Height="1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Height="1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Height="1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Height="1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Height="1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Height="1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Height="1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Height="1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Height="1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Height="1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Height="1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Height="1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Height="1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Height="1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Height="1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Height="1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Height="1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Height="1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Height="1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Height="1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Height="1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Height="1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Height="1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Height="1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Height="1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Height="1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Height="1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Height="1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Height="1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Height="1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Height="1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Height="1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Height="1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Height="1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Height="1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Height="1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Height="1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Height="1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Height="1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Height="1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Height="1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Height="1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Height="1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Height="1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Height="1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Height="1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Height="1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Height="1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Height="1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Height="1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Height="1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Height="1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Height="1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Height="1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Height="1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Height="1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Height="1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Height="1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Height="1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Height="1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Height="1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Height="1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Height="1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Height="1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Height="1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Height="1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Height="1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Height="1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Height="1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Height="1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Height="1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Height="1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Height="1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Height="1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Height="1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Height="1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Height="1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Height="1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Height="1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Height="1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Height="1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Height="1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Height="1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Height="1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Height="1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Height="1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Height="1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Height="1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Height="1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Height="1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Height="1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Height="1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Height="1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Height="1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Height="1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Height="1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Height="1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Height="1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Height="1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Height="1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Height="1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Height="1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Height="1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Height="1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Height="1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Height="1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Height="1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Height="1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Height="1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Height="1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Height="1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Height="1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Height="1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Height="1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Height="1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Height="1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Height="1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Height="1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Height="1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Height="1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Height="1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Height="1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Height="1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Height="1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Height="1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Height="1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Height="1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Height="1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Height="1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Height="1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Height="1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Height="1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Height="1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Height="1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Height="1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Height="1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Height="1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Height="1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Height="1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Height="1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Height="1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Height="1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Height="1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Height="1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Height="1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Height="1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Height="1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Height="1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Height="1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Height="1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Height="1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Height="1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Height="1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Height="1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Height="1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Height="1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Height="1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Height="1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Height="1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Height="1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Height="1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Height="1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Height="1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Height="1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Height="1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Height="1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Height="1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Height="1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Height="1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Height="1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Height="1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Height="1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Height="1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Height="1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Height="1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Height="1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Height="1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Height="1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Height="1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Height="1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Height="1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Height="1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Height="1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Height="1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Height="1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Height="1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Height="1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Height="1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Height="1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Height="1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Height="1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Height="1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Height="1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Height="1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Height="1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Height="1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Height="1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Height="1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Height="1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Height="1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Height="1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Height="1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Height="1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Height="1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Height="1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Height="1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Height="1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Height="1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Height="1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Height="1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Height="1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Height="1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Height="1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Height="1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Height="1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Height="1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Height="1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Height="1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Height="1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Height="1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Height="1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Height="1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Height="1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Height="1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Height="1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Height="1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Height="1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Height="1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Height="1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Height="1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Height="1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Height="1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Height="1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Height="1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Height="1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Height="1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Height="1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Height="1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Height="1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Height="1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Height="1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Height="1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Height="1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Height="1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Height="1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Height="1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Height="1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Height="1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Height="1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Height="1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Height="1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Height="1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Height="1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Height="1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Height="1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Height="1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Height="1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Height="1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Height="1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Height="1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Height="1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Height="1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Height="1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Height="1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Height="1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Height="1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Height="1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Height="1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Height="1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Height="1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Height="1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Height="1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Height="1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Height="1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Height="1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Height="1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Height="1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Height="1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Height="1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Height="1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Height="1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Height="1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Height="1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Height="1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Height="1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Height="1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Height="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Height="1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Height="1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Height="1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Height="1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Height="1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Height="1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Height="1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Height="1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Height="1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Height="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Height="1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Height="1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Height="1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Height="1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Height="1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Height="1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Height="1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Height="1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Height="1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Height="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Height="1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Height="1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Height="1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Height="1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Height="1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Height="1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Height="1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Height="1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Height="1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Height="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Height="1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Height="1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Height="1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Height="1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Height="1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Height="1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Height="1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Height="1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Height="1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Height="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Height="1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Height="1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Height="1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Height="1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Height="1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Height="1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Height="1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Height="1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Height="1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Height="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Height="1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Height="1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Height="1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Height="1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Height="1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Height="1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Height="1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Height="1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Height="1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Height="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Height="1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Height="1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Height="1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Height="1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Height="1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Height="1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Height="1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Height="1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Height="1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Height="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Height="1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Height="1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Height="1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Height="1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Height="1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Height="1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Height="1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Height="1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Height="1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Height="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Height="1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Height="1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Height="1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Height="1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Height="1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Height="1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Height="1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Height="1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Height="1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Height="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Height="1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Height="1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Height="1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Height="1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Height="1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Height="1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Height="1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Height="1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Height="1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Height="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Height="1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Height="1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Height="1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Height="1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Height="1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Height="1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Height="1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Height="1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Height="1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Height="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Height="1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Height="1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Height="1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Height="1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Height="1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Height="1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Height="1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Height="1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Height="1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Height="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Height="1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Height="1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Height="1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Height="1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Height="1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Height="1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Height="1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Height="1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Height="1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Height="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Height="1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Height="1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Height="1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Height="1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Height="1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Height="1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Height="1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Height="1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Height="1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Height="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Height="1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Height="1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Height="1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Height="1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Height="1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Height="1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Height="1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Height="1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Height="1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Height="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Height="1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Height="1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Height="1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Height="1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Height="1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Height="1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Height="1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Height="1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Height="1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Height="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Height="1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Height="1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Height="1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Height="1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Height="1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Height="1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Height="1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Height="1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Height="1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Height="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Height="1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Height="1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Height="1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Height="1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Height="1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Height="1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Height="1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Height="1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Height="1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Height="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Height="1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Height="1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Height="1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Height="1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Height="1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Height="1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Height="1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Height="1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Height="1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Height="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Height="1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Height="1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Height="1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Height="1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Height="1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Height="1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Height="1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Height="1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Height="1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Height="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Height="1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Height="1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Height="1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Height="1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Height="1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Height="1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Height="1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Height="1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Height="1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Height="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Height="1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Height="1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Height="1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Height="1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Height="1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Height="1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Height="1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Height="1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Height="1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Height="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Height="1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Height="1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Height="1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Height="1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Height="1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Height="1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Height="1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Height="1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Height="1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Height="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Height="1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Height="1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Height="1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Height="1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Height="1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Height="1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Height="1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Height="1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Height="1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Height="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Height="1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Height="1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Height="1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Height="1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Height="1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Height="1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Height="1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Height="1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Height="1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Height="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Height="1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Height="1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Height="1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Height="1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Height="1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Height="1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Height="1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Height="1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Height="1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Height="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Height="1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Height="1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Height="1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Height="1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Height="1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Height="1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Height="1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Height="1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Height="1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Height="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Height="1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Height="1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Height="1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Height="1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Height="1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Height="1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Height="1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Height="1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Height="1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Height="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Height="1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Height="1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Height="1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Height="1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Height="1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Height="1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Height="1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Height="1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Height="1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Height="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Height="1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Height="1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Height="1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Height="1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Height="1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Height="1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Height="1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Height="1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Height="1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Height="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Height="1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Height="1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Height="1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Height="1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Height="1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Height="1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Height="1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Height="1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Height="1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Height="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Height="1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Height="1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Height="1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Height="1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Height="1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Height="1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Height="1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Height="1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Height="1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Height="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Height="1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Height="1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Height="1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Height="1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Height="1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Height="1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Height="1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Height="1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Height="1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Height="1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Height="1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Height="1" spans="1:2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Height="1" spans="1:2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Height="1" spans="1:2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Height="1" spans="1:2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Height="1" spans="1:2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Height="1" spans="1:2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Height="1" spans="1:2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Height="1" spans="1:2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Height="1" spans="1:2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Height="1" spans="1:2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Height="1" spans="1:2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Height="1" spans="1:2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Height="1" spans="1:2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Height="1" spans="1:2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Height="1" spans="1:2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Height="1" spans="1:2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Height="1" spans="1:2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Height="1" spans="1:26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customHeight="1" spans="1:26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customHeight="1" spans="1:26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customHeight="1" spans="1:26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customHeight="1" spans="1:26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customHeight="1" spans="1:26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customHeight="1" spans="1:2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customHeight="1" spans="1:26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customHeight="1" spans="1:26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customHeight="1" spans="1:26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customHeight="1" spans="1:26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customHeight="1" spans="1:26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customHeight="1" spans="1:26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customHeight="1" spans="1:26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customHeight="1" spans="1:26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customHeight="1" spans="1:26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customHeight="1" spans="1:2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customHeight="1" spans="1:26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customHeight="1" spans="1:26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customHeight="1" spans="1:26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customHeight="1" spans="1:26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customHeight="1" spans="1:26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customHeight="1" spans="1:26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customHeight="1" spans="1:26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customHeight="1" spans="1:26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customHeight="1" spans="1:26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customHeight="1" spans="1: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customHeight="1" spans="1:26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customHeight="1" spans="1:26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customHeight="1" spans="1:26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customHeight="1" spans="1:26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customHeight="1" spans="1:26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customHeight="1" spans="1:26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customHeight="1" spans="1:26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customHeight="1" spans="1:26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customHeight="1" spans="1:26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customHeight="1" spans="1:2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customHeight="1" spans="1:26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customHeight="1" spans="1:26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customHeight="1" spans="1:26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customHeight="1" spans="1:26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customHeight="1" spans="1:26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customHeight="1" spans="1:26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customHeight="1" spans="1:26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customHeight="1" spans="1:26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customHeight="1" spans="1:26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customHeight="1" spans="1:2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customHeight="1" spans="1:26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customHeight="1" spans="1:26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customHeight="1" spans="1:26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customHeight="1" spans="1:26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customHeight="1" spans="1:26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customHeight="1" spans="1:26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26"/>
  <sheetViews>
    <sheetView zoomScale="77" zoomScaleNormal="77" topLeftCell="A118" workbookViewId="0">
      <selection activeCell="B129" sqref="B129"/>
    </sheetView>
  </sheetViews>
  <sheetFormatPr defaultColWidth="12.6296296296296" defaultRowHeight="15.75" customHeight="1"/>
  <cols>
    <col min="1" max="15" width="16.1296296296296" customWidth="1"/>
  </cols>
  <sheetData>
    <row r="1" customHeight="1" spans="1:2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Height="1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Height="1" spans="1:2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Height="1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Height="1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Height="1" spans="1:2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Height="1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Height="1" spans="1:26">
      <c r="A8" s="5"/>
      <c r="B8" s="1" t="s">
        <v>406</v>
      </c>
      <c r="C8" s="1" t="s">
        <v>407</v>
      </c>
      <c r="D8" s="1" t="s">
        <v>408</v>
      </c>
      <c r="E8" s="5"/>
      <c r="F8" s="5"/>
      <c r="G8" s="1" t="s">
        <v>408</v>
      </c>
      <c r="H8" s="5"/>
      <c r="I8" s="1" t="s">
        <v>409</v>
      </c>
      <c r="J8" s="1" t="s">
        <v>410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Height="1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Height="1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Height="1" spans="1:26">
      <c r="A11" s="1" t="s">
        <v>411</v>
      </c>
      <c r="B11" s="5"/>
      <c r="C11" s="5"/>
      <c r="D11" s="1" t="s">
        <v>406</v>
      </c>
      <c r="E11" s="1" t="s">
        <v>412</v>
      </c>
      <c r="F11" s="5"/>
      <c r="G11" s="1" t="s">
        <v>410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Height="1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Height="1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Height="1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Height="1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Height="1" spans="1:26">
      <c r="A16" s="5"/>
      <c r="B16" s="1" t="s">
        <v>413</v>
      </c>
      <c r="C16" s="5"/>
      <c r="D16" s="1" t="s">
        <v>137</v>
      </c>
      <c r="E16" s="1" t="s">
        <v>128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Height="1" spans="1:26">
      <c r="A17" s="62" t="s">
        <v>414</v>
      </c>
      <c r="B17" s="1" t="s">
        <v>106</v>
      </c>
      <c r="C17" s="1"/>
      <c r="D17" s="1" t="s">
        <v>137</v>
      </c>
      <c r="E17" s="1" t="s">
        <v>128</v>
      </c>
      <c r="F17" s="5"/>
      <c r="G17" s="1" t="s">
        <v>128</v>
      </c>
      <c r="H17" s="1"/>
      <c r="I17" s="1" t="s">
        <v>145</v>
      </c>
      <c r="J17" s="5"/>
      <c r="K17" s="1" t="s">
        <v>415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1"/>
    </row>
    <row r="18" customHeight="1" spans="1:26">
      <c r="A18" s="5"/>
      <c r="B18" s="62" t="s">
        <v>416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1" t="s">
        <v>417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Height="1" spans="1:26">
      <c r="A19" s="1" t="s">
        <v>411</v>
      </c>
      <c r="B19" s="5"/>
      <c r="C19" s="5"/>
      <c r="D19" s="1" t="s">
        <v>106</v>
      </c>
      <c r="F19" s="1" t="s">
        <v>418</v>
      </c>
      <c r="G19" s="5"/>
      <c r="H19" s="1"/>
      <c r="I19" s="1" t="s">
        <v>415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Height="1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Height="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Height="1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Height="1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Height="1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Height="1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Height="1" spans="1:26">
      <c r="A26" s="5"/>
      <c r="B26" s="1" t="s">
        <v>419</v>
      </c>
      <c r="C26" s="1"/>
      <c r="D26" s="1" t="s">
        <v>420</v>
      </c>
      <c r="F26" s="1" t="s">
        <v>421</v>
      </c>
      <c r="G26" s="5"/>
      <c r="H26" s="5"/>
      <c r="I26" s="5"/>
      <c r="J26" s="1" t="s">
        <v>160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Height="1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Height="1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Height="1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Height="1" spans="1:26">
      <c r="A30" s="5"/>
      <c r="B30" s="5"/>
      <c r="C30" s="5"/>
      <c r="D30" s="1" t="s">
        <v>407</v>
      </c>
      <c r="E30" s="5"/>
      <c r="F30" s="5"/>
      <c r="G30" s="5"/>
      <c r="H30" s="5"/>
      <c r="I30" s="5"/>
      <c r="J30" s="5"/>
      <c r="K30" s="5"/>
      <c r="L30" s="1" t="s">
        <v>409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Height="1" spans="1:26">
      <c r="A31" s="5"/>
      <c r="B31" s="7" t="s">
        <v>422</v>
      </c>
      <c r="C31" s="15"/>
      <c r="D31" s="7" t="s">
        <v>423</v>
      </c>
      <c r="E31" s="15"/>
      <c r="F31" s="7" t="s">
        <v>424</v>
      </c>
      <c r="G31" s="15"/>
      <c r="H31" s="15"/>
      <c r="I31" s="7" t="s">
        <v>425</v>
      </c>
      <c r="J31" s="15"/>
      <c r="K31" s="15"/>
      <c r="L31" s="7" t="s">
        <v>426</v>
      </c>
      <c r="M31" s="22"/>
      <c r="N31" s="7" t="s">
        <v>424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Height="1" spans="1:26">
      <c r="A32" s="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Height="1" spans="1:26">
      <c r="A33" s="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" t="s">
        <v>427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Height="1" spans="1:26">
      <c r="A34" s="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Height="1" spans="1:26">
      <c r="A35" s="5"/>
      <c r="B35" s="15"/>
      <c r="C35" s="7" t="s">
        <v>106</v>
      </c>
      <c r="D35" s="15"/>
      <c r="E35" s="7" t="s">
        <v>428</v>
      </c>
      <c r="F35" s="7" t="s">
        <v>423</v>
      </c>
      <c r="G35" s="22"/>
      <c r="H35" s="7" t="s">
        <v>143</v>
      </c>
      <c r="I35" s="7" t="s">
        <v>426</v>
      </c>
      <c r="J35" s="7"/>
      <c r="K35" s="7" t="s">
        <v>424</v>
      </c>
      <c r="L35" s="15"/>
      <c r="M35" s="7"/>
      <c r="N35" s="22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Height="1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Height="1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Height="1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Height="1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Height="1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Height="1" spans="1:26">
      <c r="A41" s="5"/>
      <c r="B41" s="1" t="s">
        <v>429</v>
      </c>
      <c r="C41" s="5"/>
      <c r="D41" s="1" t="s">
        <v>430</v>
      </c>
      <c r="E41" s="5"/>
      <c r="F41" s="1" t="s">
        <v>106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Height="1" spans="1:26">
      <c r="A42" s="5"/>
      <c r="B42" s="5"/>
      <c r="C42" s="5"/>
      <c r="D42" s="5"/>
      <c r="E42" s="5"/>
      <c r="F42" s="5"/>
      <c r="G42" s="5"/>
      <c r="H42" s="5"/>
      <c r="I42" s="5"/>
      <c r="J42" s="1" t="s">
        <v>224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Height="1" spans="1:26">
      <c r="A43" s="5"/>
      <c r="B43" s="1" t="s">
        <v>106</v>
      </c>
      <c r="C43" s="1" t="s">
        <v>431</v>
      </c>
      <c r="E43" s="5"/>
      <c r="F43" s="1" t="s">
        <v>425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Height="1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Height="1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Height="1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Height="1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Height="1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Height="1" spans="1:26">
      <c r="A49" s="5"/>
      <c r="B49" s="1" t="s">
        <v>103</v>
      </c>
      <c r="C49" s="5"/>
      <c r="D49" s="1" t="s">
        <v>432</v>
      </c>
      <c r="E49" s="5"/>
      <c r="F49" s="1" t="s">
        <v>433</v>
      </c>
      <c r="G49" s="5"/>
      <c r="H49" s="5"/>
      <c r="I49" s="1" t="s">
        <v>434</v>
      </c>
      <c r="J49" s="1" t="s">
        <v>435</v>
      </c>
      <c r="K49" s="1" t="s">
        <v>421</v>
      </c>
      <c r="L49" s="5"/>
      <c r="M49" s="1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Height="1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Height="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Height="1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Height="1" spans="1:26">
      <c r="A53" s="5"/>
      <c r="B53" s="1" t="s">
        <v>108</v>
      </c>
      <c r="C53" s="5"/>
      <c r="D53" s="1" t="s">
        <v>432</v>
      </c>
      <c r="E53" s="5"/>
      <c r="F53" s="1" t="s">
        <v>433</v>
      </c>
      <c r="G53" s="5"/>
      <c r="H53" s="5"/>
      <c r="I53" s="1" t="s">
        <v>434</v>
      </c>
      <c r="J53" s="1" t="s">
        <v>435</v>
      </c>
      <c r="K53" s="1" t="s">
        <v>436</v>
      </c>
      <c r="L53" s="5"/>
      <c r="M53" s="1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Height="1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Height="1" spans="1:26">
      <c r="A55" s="5"/>
      <c r="B55" s="1" t="s">
        <v>434</v>
      </c>
      <c r="C55" s="5"/>
      <c r="D55" s="5"/>
      <c r="E55" s="5"/>
      <c r="F55" s="5"/>
      <c r="G55" s="5"/>
      <c r="H55" s="5"/>
      <c r="I55" s="1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Height="1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Height="1" spans="1:26">
      <c r="A57" s="5"/>
      <c r="B57" s="1" t="s">
        <v>437</v>
      </c>
      <c r="C57" s="5"/>
      <c r="D57" s="5"/>
      <c r="E57" s="5"/>
      <c r="F57" s="5"/>
      <c r="G57" s="5"/>
      <c r="H57" s="5"/>
      <c r="I57" s="1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Height="1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Height="1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Height="1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Height="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Height="1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Height="1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Height="1" spans="1:26">
      <c r="A64" s="5"/>
      <c r="B64" s="7" t="s">
        <v>103</v>
      </c>
      <c r="C64" s="5"/>
      <c r="D64" s="5"/>
      <c r="E64" s="7" t="s">
        <v>103</v>
      </c>
      <c r="F64" s="5"/>
      <c r="H64" s="7" t="s">
        <v>103</v>
      </c>
      <c r="I64" s="5"/>
      <c r="J64" s="5"/>
      <c r="K64" s="7" t="s">
        <v>103</v>
      </c>
      <c r="L64" s="5"/>
      <c r="M64" s="5"/>
      <c r="N64" s="7" t="s">
        <v>103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Height="1" spans="1:26">
      <c r="A65" s="5"/>
      <c r="B65" s="5"/>
      <c r="C65" s="5"/>
      <c r="D65" s="5"/>
      <c r="E65" s="5"/>
      <c r="F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Height="1" spans="1:26">
      <c r="A66" s="5"/>
      <c r="B66" s="1" t="s">
        <v>151</v>
      </c>
      <c r="C66" s="5"/>
      <c r="D66" s="5"/>
      <c r="E66" s="1" t="s">
        <v>151</v>
      </c>
      <c r="F66" s="5"/>
      <c r="H66" s="1" t="s">
        <v>151</v>
      </c>
      <c r="I66" s="5"/>
      <c r="J66" s="5"/>
      <c r="K66" s="1" t="s">
        <v>151</v>
      </c>
      <c r="L66" s="5"/>
      <c r="M66" s="5"/>
      <c r="N66" s="1" t="s">
        <v>151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Height="1" spans="1:26">
      <c r="A67" s="5"/>
      <c r="B67" s="1"/>
      <c r="C67" s="5"/>
      <c r="D67" s="5"/>
      <c r="E67" s="7" t="s">
        <v>150</v>
      </c>
      <c r="F67" s="5"/>
      <c r="H67" s="7" t="s">
        <v>150</v>
      </c>
      <c r="I67" s="5"/>
      <c r="J67" s="5"/>
      <c r="K67" s="7" t="s">
        <v>150</v>
      </c>
      <c r="L67" s="5"/>
      <c r="M67" s="5"/>
      <c r="N67" s="7" t="s">
        <v>150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Height="1" spans="1:26">
      <c r="A68" s="5"/>
      <c r="B68" s="1" t="s">
        <v>154</v>
      </c>
      <c r="C68" s="5"/>
      <c r="D68" s="5"/>
      <c r="E68" s="1" t="s">
        <v>154</v>
      </c>
      <c r="F68" s="5"/>
      <c r="H68" s="1" t="s">
        <v>154</v>
      </c>
      <c r="I68" s="5"/>
      <c r="J68" s="5"/>
      <c r="K68" s="1" t="s">
        <v>154</v>
      </c>
      <c r="L68" s="5"/>
      <c r="M68" s="5"/>
      <c r="N68" s="1" t="s">
        <v>154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Height="1" spans="1:26">
      <c r="A69" s="5"/>
      <c r="B69" s="1"/>
      <c r="C69" s="5"/>
      <c r="D69" s="5"/>
      <c r="E69" s="1"/>
      <c r="F69" s="5"/>
      <c r="H69" s="7" t="s">
        <v>157</v>
      </c>
      <c r="I69" s="5"/>
      <c r="J69" s="5"/>
      <c r="K69" s="7" t="s">
        <v>157</v>
      </c>
      <c r="L69" s="5"/>
      <c r="M69" s="5"/>
      <c r="N69" s="7" t="s">
        <v>157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Height="1" spans="1:26">
      <c r="A70" s="5"/>
      <c r="B70" s="1" t="s">
        <v>438</v>
      </c>
      <c r="C70" s="5"/>
      <c r="D70" s="5"/>
      <c r="E70" s="1" t="s">
        <v>438</v>
      </c>
      <c r="F70" s="5"/>
      <c r="H70" s="1" t="s">
        <v>438</v>
      </c>
      <c r="I70" s="5"/>
      <c r="J70" s="5"/>
      <c r="K70" s="1" t="s">
        <v>438</v>
      </c>
      <c r="L70" s="5"/>
      <c r="M70" s="5"/>
      <c r="N70" s="1" t="s">
        <v>438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Height="1" spans="1:26">
      <c r="A71" s="5"/>
      <c r="B71" s="1"/>
      <c r="C71" s="1"/>
      <c r="D71" s="5"/>
      <c r="E71" s="1"/>
      <c r="F71" s="1"/>
      <c r="H71" s="1"/>
      <c r="I71" s="1"/>
      <c r="J71" s="5"/>
      <c r="K71" s="7" t="s">
        <v>439</v>
      </c>
      <c r="M71" s="5"/>
      <c r="N71" s="7" t="s">
        <v>439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Height="1" spans="1:26">
      <c r="A72" s="5"/>
      <c r="B72" s="1"/>
      <c r="C72" s="1"/>
      <c r="D72" s="5"/>
      <c r="E72" s="1"/>
      <c r="F72" s="1"/>
      <c r="H72" s="1"/>
      <c r="I72" s="1"/>
      <c r="J72" s="5"/>
      <c r="K72" s="1"/>
      <c r="L72" s="1"/>
      <c r="M72" s="5"/>
      <c r="N72" s="7" t="s">
        <v>440</v>
      </c>
      <c r="O72" s="1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Height="1" spans="1:26">
      <c r="A73" s="5"/>
      <c r="B73" s="1"/>
      <c r="C73" s="1" t="s">
        <v>169</v>
      </c>
      <c r="D73" s="5"/>
      <c r="E73" s="1"/>
      <c r="F73" s="1" t="s">
        <v>169</v>
      </c>
      <c r="H73" s="1"/>
      <c r="I73" s="1" t="s">
        <v>169</v>
      </c>
      <c r="J73" s="5"/>
      <c r="K73" s="1"/>
      <c r="L73" s="1" t="s">
        <v>169</v>
      </c>
      <c r="M73" s="5"/>
      <c r="N73" s="1"/>
      <c r="O73" s="1" t="s">
        <v>169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Height="1" spans="1:26">
      <c r="A74" s="5"/>
      <c r="B74" s="1"/>
      <c r="C74" s="1" t="s">
        <v>441</v>
      </c>
      <c r="D74" s="5"/>
      <c r="E74" s="1"/>
      <c r="F74" s="1" t="s">
        <v>441</v>
      </c>
      <c r="H74" s="1"/>
      <c r="I74" s="1" t="s">
        <v>441</v>
      </c>
      <c r="J74" s="5"/>
      <c r="K74" s="1"/>
      <c r="L74" s="1" t="s">
        <v>441</v>
      </c>
      <c r="M74" s="5"/>
      <c r="N74" s="1"/>
      <c r="O74" s="1" t="s">
        <v>441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Height="1" spans="1:26">
      <c r="A75" s="5"/>
      <c r="B75" s="1" t="s">
        <v>173</v>
      </c>
      <c r="C75" s="5"/>
      <c r="D75" s="5"/>
      <c r="E75" s="1" t="s">
        <v>173</v>
      </c>
      <c r="F75" s="5"/>
      <c r="H75" s="1" t="s">
        <v>173</v>
      </c>
      <c r="I75" s="5"/>
      <c r="J75" s="5"/>
      <c r="K75" s="1" t="s">
        <v>173</v>
      </c>
      <c r="L75" s="5"/>
      <c r="M75" s="5"/>
      <c r="N75" s="1" t="s">
        <v>173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Height="1" spans="1:26">
      <c r="A76" s="5"/>
      <c r="B76" s="1"/>
      <c r="C76" s="5"/>
      <c r="D76" s="5"/>
      <c r="E76" s="1"/>
      <c r="F76" s="5"/>
      <c r="H76" s="1"/>
      <c r="I76" s="5"/>
      <c r="J76" s="5"/>
      <c r="K76" s="7" t="s">
        <v>442</v>
      </c>
      <c r="L76" s="5"/>
      <c r="M76" s="5"/>
      <c r="N76" s="7" t="s">
        <v>442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Height="1" spans="1:26">
      <c r="A77" s="5"/>
      <c r="B77" s="7" t="s">
        <v>443</v>
      </c>
      <c r="C77" s="5"/>
      <c r="D77" s="5"/>
      <c r="E77" s="7" t="s">
        <v>104</v>
      </c>
      <c r="F77" s="5"/>
      <c r="H77" s="7" t="s">
        <v>104</v>
      </c>
      <c r="I77" s="5"/>
      <c r="J77" s="5"/>
      <c r="K77" s="7" t="s">
        <v>104</v>
      </c>
      <c r="L77" s="5"/>
      <c r="M77" s="5"/>
      <c r="N77" s="7" t="s">
        <v>104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Height="1" spans="1:26">
      <c r="A78" s="5"/>
      <c r="B78" s="1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Height="1" spans="1:26">
      <c r="A79" s="5"/>
      <c r="B79" s="1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Height="1" spans="1:26">
      <c r="A80" s="5"/>
      <c r="B80" s="1" t="s">
        <v>444</v>
      </c>
      <c r="C80" s="5"/>
      <c r="G80" s="1" t="s">
        <v>430</v>
      </c>
      <c r="H80" s="5"/>
      <c r="I80" s="1" t="s">
        <v>445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Height="1" spans="1:26">
      <c r="A81" s="5"/>
      <c r="B81" s="5"/>
      <c r="C81" s="5"/>
      <c r="D81" s="5"/>
      <c r="E81" s="5"/>
      <c r="F81" s="5"/>
      <c r="G81" s="5"/>
      <c r="H81" s="5"/>
      <c r="I81" s="5"/>
      <c r="J81" s="1" t="s">
        <v>224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Height="1" spans="1:26">
      <c r="A82" s="5"/>
      <c r="B82" s="1" t="s">
        <v>446</v>
      </c>
      <c r="F82" s="1" t="s">
        <v>431</v>
      </c>
      <c r="H82" s="5"/>
      <c r="I82" s="1" t="s">
        <v>425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Height="1" spans="1:26">
      <c r="A83" s="5"/>
      <c r="B83" s="1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Height="1" spans="1:26">
      <c r="A84" s="5"/>
      <c r="B84" s="1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Height="1" spans="1:26">
      <c r="A85" s="5"/>
      <c r="B85" s="1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Height="1" spans="1:26">
      <c r="A86" s="5"/>
      <c r="B86" s="7" t="s">
        <v>103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Height="1" spans="1:26">
      <c r="A87" s="5"/>
      <c r="B87" s="1" t="s">
        <v>152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Height="1" spans="1:26">
      <c r="A88" s="5"/>
      <c r="B88" s="1"/>
      <c r="C88" s="7" t="s">
        <v>447</v>
      </c>
      <c r="D88" s="5"/>
      <c r="E88" s="1" t="s">
        <v>273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Height="1" spans="1:26">
      <c r="A89" s="5"/>
      <c r="C89" s="7" t="s">
        <v>155</v>
      </c>
      <c r="D89" s="5"/>
      <c r="E89" s="1" t="s">
        <v>130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Height="1" spans="1:26">
      <c r="A90" s="5"/>
      <c r="C90" s="1" t="s">
        <v>158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Height="1" spans="1:26">
      <c r="A91" s="5"/>
      <c r="B91" s="1"/>
      <c r="C91" s="7" t="s">
        <v>159</v>
      </c>
      <c r="D91" s="5"/>
      <c r="E91" s="1" t="s">
        <v>448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Height="1" spans="1:26">
      <c r="A92" s="5"/>
      <c r="B92" s="1" t="s">
        <v>163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Height="1" spans="1:26">
      <c r="A93" s="5"/>
      <c r="B93" s="1"/>
      <c r="C93" s="7" t="s">
        <v>449</v>
      </c>
      <c r="D93" s="5"/>
      <c r="E93" s="1" t="s">
        <v>273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Height="1" spans="1:26">
      <c r="A94" s="5"/>
      <c r="C94" s="7" t="s">
        <v>168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Height="1" spans="1:26">
      <c r="A95" s="5"/>
      <c r="C95" s="1" t="s">
        <v>170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Height="1" spans="1:26">
      <c r="A96" s="5"/>
      <c r="B96" s="1"/>
      <c r="C96" s="7" t="s">
        <v>450</v>
      </c>
      <c r="D96" s="5"/>
      <c r="E96" s="1" t="s">
        <v>448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Height="1" spans="1:26">
      <c r="A97" s="5"/>
      <c r="B97" s="1" t="s">
        <v>173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Height="1" spans="1:26">
      <c r="A98" s="5"/>
      <c r="B98" s="7" t="s">
        <v>159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Height="1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Height="1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Height="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Height="1" spans="1:26">
      <c r="A102" s="5"/>
      <c r="B102" s="6" t="s">
        <v>195</v>
      </c>
      <c r="C102" s="5"/>
      <c r="D102" s="5"/>
      <c r="E102" s="5"/>
      <c r="F102" s="5"/>
      <c r="G102" s="5"/>
      <c r="H102" s="5"/>
      <c r="I102" s="5"/>
      <c r="J102" s="5"/>
      <c r="K102" s="5"/>
      <c r="L102" s="6" t="s">
        <v>451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Height="1" spans="1:26">
      <c r="A103" s="5"/>
      <c r="B103" s="7" t="s">
        <v>452</v>
      </c>
      <c r="C103" s="5"/>
      <c r="D103" s="5"/>
      <c r="E103" s="5"/>
      <c r="F103" s="5"/>
      <c r="G103" s="1"/>
      <c r="H103" s="5"/>
      <c r="I103" s="1" t="s">
        <v>197</v>
      </c>
      <c r="J103" s="5"/>
      <c r="K103" s="5"/>
      <c r="L103" s="7" t="s">
        <v>453</v>
      </c>
      <c r="M103" s="5"/>
      <c r="N103" s="5"/>
      <c r="O103" s="5"/>
      <c r="P103" s="5"/>
      <c r="Q103" s="5"/>
      <c r="R103" s="5"/>
      <c r="S103" s="1" t="s">
        <v>197</v>
      </c>
      <c r="T103" s="5"/>
      <c r="U103" s="5"/>
      <c r="V103" s="5"/>
      <c r="W103" s="5"/>
      <c r="X103" s="5"/>
      <c r="Y103" s="5"/>
      <c r="Z103" s="5"/>
    </row>
    <row r="104" customHeight="1" spans="1:26">
      <c r="A104" s="5"/>
      <c r="B104" s="1" t="s">
        <v>151</v>
      </c>
      <c r="C104" s="5"/>
      <c r="D104" s="5"/>
      <c r="E104" s="5"/>
      <c r="F104" s="5"/>
      <c r="G104" s="5"/>
      <c r="H104" s="5"/>
      <c r="I104" s="5"/>
      <c r="J104" s="5"/>
      <c r="K104" s="5"/>
      <c r="L104" s="1" t="s">
        <v>454</v>
      </c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Height="1" spans="1:26">
      <c r="A105" s="5"/>
      <c r="B105" s="7" t="s">
        <v>455</v>
      </c>
      <c r="C105" s="5"/>
      <c r="D105" s="5"/>
      <c r="E105" s="5"/>
      <c r="F105" s="5"/>
      <c r="G105" s="1"/>
      <c r="H105" s="5"/>
      <c r="I105" s="1" t="s">
        <v>202</v>
      </c>
      <c r="J105" s="5"/>
      <c r="K105" s="5"/>
      <c r="L105" s="7" t="s">
        <v>456</v>
      </c>
      <c r="M105" s="5"/>
      <c r="N105" s="5"/>
      <c r="O105" s="5"/>
      <c r="P105" s="5"/>
      <c r="Q105" s="5"/>
      <c r="R105" s="5"/>
      <c r="S105" s="1" t="s">
        <v>202</v>
      </c>
      <c r="T105" s="5"/>
      <c r="U105" s="5"/>
      <c r="V105" s="5"/>
      <c r="W105" s="5"/>
      <c r="X105" s="5"/>
      <c r="Y105" s="5"/>
      <c r="Z105" s="5"/>
    </row>
    <row r="106" customHeight="1" spans="1:26">
      <c r="A106" s="5"/>
      <c r="B106" s="1" t="s">
        <v>154</v>
      </c>
      <c r="C106" s="5"/>
      <c r="D106" s="5"/>
      <c r="E106" s="5"/>
      <c r="F106" s="5"/>
      <c r="G106" s="5"/>
      <c r="H106" s="5"/>
      <c r="I106" s="5"/>
      <c r="J106" s="5"/>
      <c r="K106" s="5"/>
      <c r="L106" s="1" t="s">
        <v>283</v>
      </c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Height="1" spans="1:26">
      <c r="A107" s="5"/>
      <c r="B107" s="7" t="s">
        <v>337</v>
      </c>
      <c r="C107" s="5"/>
      <c r="D107" s="5"/>
      <c r="E107" s="5"/>
      <c r="F107" s="5"/>
      <c r="G107" s="1"/>
      <c r="H107" s="5"/>
      <c r="I107" s="1" t="s">
        <v>202</v>
      </c>
      <c r="J107" s="5"/>
      <c r="K107" s="5"/>
      <c r="L107" s="7" t="s">
        <v>457</v>
      </c>
      <c r="M107" s="5"/>
      <c r="N107" s="5"/>
      <c r="O107" s="5"/>
      <c r="P107" s="5"/>
      <c r="Q107" s="5"/>
      <c r="R107" s="5"/>
      <c r="S107" s="1" t="s">
        <v>202</v>
      </c>
      <c r="T107" s="5"/>
      <c r="U107" s="5"/>
      <c r="V107" s="5"/>
      <c r="W107" s="5"/>
      <c r="X107" s="5"/>
      <c r="Y107" s="5"/>
      <c r="Z107" s="5"/>
    </row>
    <row r="108" customHeight="1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Height="1" spans="1:26">
      <c r="A109" s="5"/>
      <c r="B109" s="1" t="s">
        <v>161</v>
      </c>
      <c r="C109" s="5"/>
      <c r="D109" s="1" t="s">
        <v>162</v>
      </c>
      <c r="E109" s="5"/>
      <c r="F109" s="5"/>
      <c r="G109" s="5"/>
      <c r="H109" s="5"/>
      <c r="I109" s="5"/>
      <c r="J109" s="5"/>
      <c r="K109" s="5"/>
      <c r="L109" s="1" t="s">
        <v>458</v>
      </c>
      <c r="M109" s="5"/>
      <c r="N109" s="1" t="s">
        <v>162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Height="1" spans="1:26">
      <c r="A110" s="5"/>
      <c r="B110" s="5"/>
      <c r="C110" s="7" t="s">
        <v>459</v>
      </c>
      <c r="D110" s="5"/>
      <c r="E110" s="5"/>
      <c r="F110" s="1"/>
      <c r="G110" s="1"/>
      <c r="H110" s="5"/>
      <c r="I110" s="1" t="s">
        <v>210</v>
      </c>
      <c r="J110" s="5"/>
      <c r="K110" s="5"/>
      <c r="L110" s="5"/>
      <c r="M110" s="7" t="s">
        <v>460</v>
      </c>
      <c r="N110" s="5"/>
      <c r="O110" s="5"/>
      <c r="P110" s="1"/>
      <c r="Q110" s="5"/>
      <c r="R110" s="5"/>
      <c r="S110" s="1" t="s">
        <v>210</v>
      </c>
      <c r="T110" s="5"/>
      <c r="U110" s="5"/>
      <c r="V110" s="5"/>
      <c r="W110" s="5"/>
      <c r="X110" s="5"/>
      <c r="Y110" s="5"/>
      <c r="Z110" s="5"/>
    </row>
    <row r="111" customHeight="1" spans="1:26">
      <c r="A111" s="5"/>
      <c r="B111" s="5"/>
      <c r="C111" s="7" t="s">
        <v>461</v>
      </c>
      <c r="D111" s="5"/>
      <c r="E111" s="5"/>
      <c r="F111" s="1"/>
      <c r="G111" s="1"/>
      <c r="H111" s="5"/>
      <c r="I111" s="1" t="s">
        <v>197</v>
      </c>
      <c r="J111" s="5"/>
      <c r="K111" s="5"/>
      <c r="L111" s="5"/>
      <c r="M111" s="7" t="s">
        <v>462</v>
      </c>
      <c r="N111" s="5"/>
      <c r="O111" s="5"/>
      <c r="P111" s="1"/>
      <c r="Q111" s="5"/>
      <c r="R111" s="5"/>
      <c r="S111" s="1" t="s">
        <v>197</v>
      </c>
      <c r="T111" s="5"/>
      <c r="U111" s="5"/>
      <c r="V111" s="5"/>
      <c r="W111" s="5"/>
      <c r="X111" s="5"/>
      <c r="Y111" s="5"/>
      <c r="Z111" s="5"/>
    </row>
    <row r="112" customHeight="1" spans="1:26">
      <c r="A112" s="5"/>
      <c r="B112" s="5"/>
      <c r="C112" s="1" t="s">
        <v>169</v>
      </c>
      <c r="D112" s="5"/>
      <c r="E112" s="5"/>
      <c r="F112" s="5"/>
      <c r="G112" s="5"/>
      <c r="H112" s="5"/>
      <c r="I112" s="5"/>
      <c r="J112" s="5"/>
      <c r="K112" s="5"/>
      <c r="L112" s="5"/>
      <c r="M112" s="1" t="s">
        <v>391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Height="1" spans="1:26">
      <c r="A113" s="5"/>
      <c r="B113" s="5"/>
      <c r="C113" s="7" t="s">
        <v>463</v>
      </c>
      <c r="D113" s="5"/>
      <c r="E113" s="5"/>
      <c r="F113" s="5"/>
      <c r="G113" s="1"/>
      <c r="H113" s="5"/>
      <c r="I113" s="1" t="s">
        <v>202</v>
      </c>
      <c r="J113" s="5"/>
      <c r="K113" s="5"/>
      <c r="L113" s="5"/>
      <c r="M113" s="7" t="s">
        <v>464</v>
      </c>
      <c r="N113" s="5"/>
      <c r="O113" s="5"/>
      <c r="P113" s="5"/>
      <c r="Q113" s="5"/>
      <c r="R113" s="5"/>
      <c r="S113" s="1" t="s">
        <v>202</v>
      </c>
      <c r="T113" s="5"/>
      <c r="U113" s="5"/>
      <c r="V113" s="5"/>
      <c r="W113" s="5"/>
      <c r="X113" s="5"/>
      <c r="Y113" s="5"/>
      <c r="Z113" s="5"/>
    </row>
    <row r="114" customHeight="1" spans="1:26">
      <c r="A114" s="5"/>
      <c r="B114" s="5"/>
      <c r="C114" s="1" t="s">
        <v>172</v>
      </c>
      <c r="D114" s="5"/>
      <c r="E114" s="5"/>
      <c r="F114" s="5"/>
      <c r="G114" s="5"/>
      <c r="H114" s="5"/>
      <c r="I114" s="5"/>
      <c r="J114" s="5"/>
      <c r="K114" s="5"/>
      <c r="L114" s="5"/>
      <c r="M114" s="1" t="s">
        <v>465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Height="1" spans="1:26">
      <c r="A115" s="5"/>
      <c r="B115" s="1"/>
      <c r="C115" s="7" t="s">
        <v>344</v>
      </c>
      <c r="D115" s="5"/>
      <c r="E115" s="5"/>
      <c r="F115" s="5"/>
      <c r="G115" s="1"/>
      <c r="H115" s="5"/>
      <c r="I115" s="1" t="s">
        <v>202</v>
      </c>
      <c r="J115" s="5"/>
      <c r="K115" s="5"/>
      <c r="L115" s="1"/>
      <c r="M115" s="7" t="s">
        <v>466</v>
      </c>
      <c r="N115" s="5"/>
      <c r="O115" s="5"/>
      <c r="P115" s="5"/>
      <c r="Q115" s="5"/>
      <c r="R115" s="5"/>
      <c r="S115" s="1" t="s">
        <v>202</v>
      </c>
      <c r="T115" s="5"/>
      <c r="U115" s="5"/>
      <c r="V115" s="5"/>
      <c r="W115" s="5"/>
      <c r="X115" s="5"/>
      <c r="Y115" s="5"/>
      <c r="Z115" s="5"/>
    </row>
    <row r="116" customHeight="1" spans="1:26">
      <c r="A116" s="5"/>
      <c r="B116" s="1" t="s">
        <v>173</v>
      </c>
      <c r="C116" s="5"/>
      <c r="D116" s="5"/>
      <c r="E116" s="5"/>
      <c r="F116" s="5"/>
      <c r="G116" s="5"/>
      <c r="H116" s="5"/>
      <c r="I116" s="5"/>
      <c r="J116" s="5"/>
      <c r="K116" s="5"/>
      <c r="L116" s="1" t="s">
        <v>173</v>
      </c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Height="1" spans="1:26">
      <c r="A117" s="5"/>
      <c r="B117" s="7" t="s">
        <v>174</v>
      </c>
      <c r="C117" s="5"/>
      <c r="D117" s="5"/>
      <c r="E117" s="5"/>
      <c r="F117" s="1"/>
      <c r="G117" s="1"/>
      <c r="H117" s="5"/>
      <c r="I117" s="1" t="s">
        <v>345</v>
      </c>
      <c r="J117" s="5"/>
      <c r="K117" s="5"/>
      <c r="L117" s="7" t="s">
        <v>467</v>
      </c>
      <c r="M117" s="5"/>
      <c r="N117" s="5"/>
      <c r="O117" s="5"/>
      <c r="P117" s="1"/>
      <c r="Q117" s="5"/>
      <c r="R117" s="5"/>
      <c r="S117" s="1" t="s">
        <v>345</v>
      </c>
      <c r="T117" s="5"/>
      <c r="U117" s="5"/>
      <c r="V117" s="5"/>
      <c r="W117" s="5"/>
      <c r="X117" s="5"/>
      <c r="Y117" s="5"/>
      <c r="Z117" s="5"/>
    </row>
    <row r="118" customHeight="1" spans="1:26">
      <c r="A118" s="5"/>
      <c r="B118" s="6" t="s">
        <v>104</v>
      </c>
      <c r="C118" s="5"/>
      <c r="D118" s="5"/>
      <c r="E118" s="5"/>
      <c r="F118" s="5"/>
      <c r="G118" s="1"/>
      <c r="H118" s="5"/>
      <c r="I118" s="1" t="s">
        <v>197</v>
      </c>
      <c r="J118" s="5"/>
      <c r="K118" s="5"/>
      <c r="L118" s="7" t="s">
        <v>468</v>
      </c>
      <c r="M118" s="5"/>
      <c r="N118" s="5"/>
      <c r="O118" s="5"/>
      <c r="P118" s="5"/>
      <c r="Q118" s="5"/>
      <c r="R118" s="5"/>
      <c r="S118" s="1" t="s">
        <v>197</v>
      </c>
      <c r="T118" s="5"/>
      <c r="U118" s="5"/>
      <c r="V118" s="5"/>
      <c r="W118" s="5"/>
      <c r="X118" s="5"/>
      <c r="Y118" s="5"/>
      <c r="Z118" s="5"/>
    </row>
    <row r="119" customHeight="1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6" t="s">
        <v>469</v>
      </c>
      <c r="M119" s="5"/>
      <c r="N119" s="5"/>
      <c r="O119" s="5"/>
      <c r="P119" s="5"/>
      <c r="Q119" s="5"/>
      <c r="R119" s="5"/>
      <c r="S119" s="1" t="s">
        <v>197</v>
      </c>
      <c r="T119" s="5"/>
      <c r="U119" s="5"/>
      <c r="V119" s="5"/>
      <c r="W119" s="5"/>
      <c r="X119" s="5"/>
      <c r="Y119" s="5"/>
      <c r="Z119" s="5"/>
    </row>
    <row r="120" customHeight="1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Height="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Height="1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Height="1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Height="1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Height="1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Height="1" spans="1:26">
      <c r="A126" s="5"/>
      <c r="B126" s="6" t="s">
        <v>369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Height="1" spans="1:26">
      <c r="A127" s="5"/>
      <c r="B127" s="7" t="s">
        <v>470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1" t="s">
        <v>197</v>
      </c>
      <c r="S127" s="5"/>
      <c r="T127" s="5"/>
      <c r="U127" s="5"/>
      <c r="V127" s="5"/>
      <c r="W127" s="5"/>
      <c r="X127" s="5"/>
      <c r="Y127" s="5"/>
      <c r="Z127" s="5"/>
    </row>
    <row r="128" customHeight="1" spans="1:26">
      <c r="A128" s="5"/>
      <c r="B128" s="1" t="s">
        <v>312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Height="1" spans="1:26">
      <c r="A129" s="5"/>
      <c r="B129" s="7" t="s">
        <v>471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1" t="s">
        <v>202</v>
      </c>
      <c r="S129" s="5"/>
      <c r="T129" s="5"/>
      <c r="U129" s="5"/>
      <c r="V129" s="5"/>
      <c r="W129" s="5"/>
      <c r="X129" s="5"/>
      <c r="Y129" s="5"/>
      <c r="Z129" s="5"/>
    </row>
    <row r="130" customHeight="1" spans="1:26">
      <c r="A130" s="5"/>
      <c r="B130" s="1" t="s">
        <v>283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1"/>
      <c r="Q130" s="1"/>
      <c r="R130" s="5"/>
      <c r="S130" s="5"/>
      <c r="T130" s="5"/>
      <c r="U130" s="5"/>
      <c r="V130" s="5"/>
      <c r="W130" s="5"/>
      <c r="X130" s="5"/>
      <c r="Y130" s="5"/>
      <c r="Z130" s="5"/>
    </row>
    <row r="131" customHeight="1" spans="1:26">
      <c r="A131" s="5"/>
      <c r="B131" s="7" t="s">
        <v>472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1"/>
      <c r="Q131" s="1"/>
      <c r="R131" s="1" t="s">
        <v>202</v>
      </c>
      <c r="S131" s="5"/>
      <c r="T131" s="5"/>
      <c r="U131" s="5"/>
      <c r="V131" s="5"/>
      <c r="W131" s="5"/>
      <c r="X131" s="5"/>
      <c r="Y131" s="5"/>
      <c r="Z131" s="5"/>
    </row>
    <row r="132" customHeight="1" spans="1:26">
      <c r="A132" s="5"/>
      <c r="B132" s="1" t="s">
        <v>287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Height="1" spans="1:26">
      <c r="A133" s="5"/>
      <c r="B133" s="5"/>
      <c r="C133" s="7" t="s">
        <v>473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1"/>
      <c r="R133" s="1" t="s">
        <v>210</v>
      </c>
      <c r="S133" s="5"/>
      <c r="T133" s="5"/>
      <c r="U133" s="5"/>
      <c r="V133" s="5"/>
      <c r="W133" s="5"/>
      <c r="X133" s="5"/>
      <c r="Y133" s="5"/>
      <c r="Z133" s="5"/>
    </row>
    <row r="134" customHeight="1" spans="1:26">
      <c r="A134" s="5"/>
      <c r="B134" s="5"/>
      <c r="C134" s="7" t="s">
        <v>474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1"/>
      <c r="R134" s="1" t="s">
        <v>197</v>
      </c>
      <c r="S134" s="5"/>
      <c r="T134" s="5"/>
      <c r="U134" s="5"/>
      <c r="V134" s="5"/>
      <c r="W134" s="5"/>
      <c r="X134" s="5"/>
      <c r="Y134" s="5"/>
      <c r="Z134" s="5"/>
    </row>
    <row r="135" customHeight="1" spans="1:26">
      <c r="A135" s="5"/>
      <c r="B135" s="5"/>
      <c r="C135" s="1" t="s">
        <v>475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Height="1" spans="1:26">
      <c r="A136" s="5"/>
      <c r="B136" s="5"/>
      <c r="C136" s="7" t="s">
        <v>476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1" t="s">
        <v>202</v>
      </c>
      <c r="S136" s="5"/>
      <c r="T136" s="5"/>
      <c r="U136" s="5"/>
      <c r="V136" s="5"/>
      <c r="W136" s="5"/>
      <c r="X136" s="5"/>
      <c r="Y136" s="5"/>
      <c r="Z136" s="5"/>
    </row>
    <row r="137" customHeight="1" spans="1:26">
      <c r="A137" s="5"/>
      <c r="B137" s="5"/>
      <c r="C137" s="1" t="s">
        <v>298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1"/>
      <c r="Q137" s="1"/>
      <c r="R137" s="5"/>
      <c r="S137" s="5"/>
      <c r="T137" s="5"/>
      <c r="U137" s="5"/>
      <c r="V137" s="5"/>
      <c r="W137" s="5"/>
      <c r="X137" s="5"/>
      <c r="Y137" s="5"/>
      <c r="Z137" s="5"/>
    </row>
    <row r="138" customHeight="1" spans="1:26">
      <c r="A138" s="5"/>
      <c r="B138" s="5"/>
      <c r="C138" s="5"/>
      <c r="D138" s="7" t="s">
        <v>477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"/>
      <c r="P138" s="1"/>
      <c r="Q138" s="1"/>
      <c r="R138" s="1" t="s">
        <v>210</v>
      </c>
      <c r="S138" s="1"/>
      <c r="T138" s="1"/>
      <c r="U138" s="1"/>
      <c r="V138" s="5"/>
      <c r="W138" s="5"/>
      <c r="X138" s="5"/>
      <c r="Y138" s="5"/>
      <c r="Z138" s="5"/>
    </row>
    <row r="139" customHeight="1" spans="1:26">
      <c r="A139" s="5"/>
      <c r="B139" s="5"/>
      <c r="C139" s="5"/>
      <c r="D139" s="1" t="s">
        <v>478</v>
      </c>
      <c r="E139" s="5"/>
      <c r="F139" s="5"/>
      <c r="G139" s="5"/>
      <c r="H139" s="5"/>
      <c r="I139" s="5"/>
      <c r="J139" s="5"/>
      <c r="K139" s="5"/>
      <c r="L139" s="5"/>
      <c r="M139" s="5"/>
      <c r="N139" s="1"/>
      <c r="O139" s="5"/>
      <c r="P139" s="5"/>
      <c r="Q139" s="5"/>
      <c r="R139" s="5"/>
      <c r="S139" s="5"/>
      <c r="T139" s="1"/>
      <c r="U139" s="5"/>
      <c r="V139" s="5"/>
      <c r="W139" s="5"/>
      <c r="X139" s="5"/>
      <c r="Y139" s="5"/>
      <c r="Z139" s="5"/>
    </row>
    <row r="140" customHeight="1" spans="1:26">
      <c r="A140" s="5"/>
      <c r="B140" s="5"/>
      <c r="C140" s="5"/>
      <c r="D140" s="5"/>
      <c r="E140" s="7" t="s">
        <v>479</v>
      </c>
      <c r="F140" s="5"/>
      <c r="G140" s="5"/>
      <c r="H140" s="5"/>
      <c r="I140" s="5"/>
      <c r="J140" s="5"/>
      <c r="K140" s="5"/>
      <c r="L140" s="5"/>
      <c r="M140" s="5"/>
      <c r="R140" s="1" t="s">
        <v>273</v>
      </c>
      <c r="X140" s="5"/>
      <c r="Y140" s="5"/>
      <c r="Z140" s="5"/>
    </row>
    <row r="141" customHeight="1" spans="1:26">
      <c r="A141" s="5"/>
      <c r="B141" s="5"/>
      <c r="C141" s="5"/>
      <c r="D141" s="5"/>
      <c r="E141" s="7" t="s">
        <v>480</v>
      </c>
      <c r="F141" s="5"/>
      <c r="G141" s="5"/>
      <c r="H141" s="5"/>
      <c r="I141" s="5"/>
      <c r="J141" s="5"/>
      <c r="K141" s="5"/>
      <c r="L141" s="5"/>
      <c r="M141" s="5"/>
      <c r="R141" s="1" t="s">
        <v>197</v>
      </c>
      <c r="X141" s="5"/>
      <c r="Y141" s="5"/>
      <c r="Z141" s="5"/>
    </row>
    <row r="142" customHeight="1" spans="1:26">
      <c r="A142" s="5"/>
      <c r="B142" s="5"/>
      <c r="C142" s="5"/>
      <c r="D142" s="5"/>
      <c r="E142" s="1" t="s">
        <v>325</v>
      </c>
      <c r="F142" s="5"/>
      <c r="G142" s="5"/>
      <c r="H142" s="5"/>
      <c r="I142" s="5"/>
      <c r="J142" s="5"/>
      <c r="K142" s="5"/>
      <c r="L142" s="5"/>
      <c r="M142" s="5"/>
      <c r="X142" s="5"/>
      <c r="Y142" s="5"/>
      <c r="Z142" s="5"/>
    </row>
    <row r="143" customHeight="1" spans="1:26">
      <c r="A143" s="5"/>
      <c r="B143" s="5"/>
      <c r="C143" s="5"/>
      <c r="D143" s="5"/>
      <c r="E143" s="7" t="s">
        <v>481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1"/>
      <c r="R143" s="1" t="s">
        <v>202</v>
      </c>
      <c r="S143" s="1"/>
      <c r="T143" s="5"/>
      <c r="U143" s="5"/>
      <c r="V143" s="5"/>
      <c r="W143" s="5"/>
      <c r="X143" s="5"/>
      <c r="Y143" s="5"/>
      <c r="Z143" s="5"/>
    </row>
    <row r="144" customHeight="1" spans="1:26">
      <c r="A144" s="5"/>
      <c r="B144" s="5"/>
      <c r="C144" s="5"/>
      <c r="D144" s="1" t="s">
        <v>173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"/>
      <c r="P144" s="1"/>
      <c r="Q144" s="1"/>
      <c r="R144" s="1"/>
      <c r="S144" s="1"/>
      <c r="T144" s="1"/>
      <c r="U144" s="1"/>
      <c r="V144" s="5"/>
      <c r="W144" s="5"/>
      <c r="X144" s="5"/>
      <c r="Y144" s="5"/>
      <c r="Z144" s="5"/>
    </row>
    <row r="145" customHeight="1" spans="1:26">
      <c r="A145" s="5"/>
      <c r="B145" s="5"/>
      <c r="C145" s="1"/>
      <c r="D145" s="1" t="s">
        <v>255</v>
      </c>
      <c r="E145" s="5"/>
      <c r="F145" s="5"/>
      <c r="G145" s="5"/>
      <c r="H145" s="5"/>
      <c r="I145" s="5"/>
      <c r="J145" s="5"/>
      <c r="K145" s="5"/>
      <c r="L145" s="5"/>
      <c r="M145" s="5"/>
      <c r="N145" s="1"/>
      <c r="O145" s="5"/>
      <c r="P145" s="5"/>
      <c r="Q145" s="5"/>
      <c r="R145" s="5"/>
      <c r="S145" s="5"/>
      <c r="T145" s="1"/>
      <c r="U145" s="5"/>
      <c r="V145" s="5"/>
      <c r="W145" s="5"/>
      <c r="X145" s="5"/>
      <c r="Y145" s="5"/>
      <c r="Z145" s="5"/>
    </row>
    <row r="146" customHeight="1" spans="1:26">
      <c r="A146" s="5"/>
      <c r="B146" s="5"/>
      <c r="C146" s="1"/>
      <c r="D146" s="5"/>
      <c r="E146" s="7" t="s">
        <v>482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1" t="s">
        <v>273</v>
      </c>
      <c r="S146" s="5"/>
      <c r="T146" s="5"/>
      <c r="U146" s="5"/>
      <c r="V146" s="5"/>
      <c r="W146" s="5"/>
      <c r="X146" s="5"/>
      <c r="Y146" s="5"/>
      <c r="Z146" s="5"/>
    </row>
    <row r="147" customHeight="1" spans="1:26">
      <c r="A147" s="5"/>
      <c r="B147" s="5"/>
      <c r="C147" s="1"/>
      <c r="D147" s="1"/>
      <c r="E147" s="7" t="s">
        <v>481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1" t="s">
        <v>197</v>
      </c>
      <c r="S147" s="5"/>
      <c r="T147" s="5"/>
      <c r="U147" s="5"/>
      <c r="V147" s="5"/>
      <c r="W147" s="5"/>
      <c r="X147" s="5"/>
      <c r="Y147" s="5"/>
      <c r="Z147" s="5"/>
    </row>
    <row r="148" customHeight="1" spans="1:26">
      <c r="A148" s="5"/>
      <c r="B148" s="5"/>
      <c r="C148" s="1"/>
      <c r="D148" s="1" t="s">
        <v>173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"/>
      <c r="P148" s="1"/>
      <c r="Q148" s="1"/>
      <c r="R148" s="1"/>
      <c r="S148" s="1"/>
      <c r="T148" s="1"/>
      <c r="U148" s="1"/>
      <c r="V148" s="5"/>
      <c r="W148" s="5"/>
      <c r="X148" s="5"/>
      <c r="Y148" s="5"/>
      <c r="Z148" s="5"/>
    </row>
    <row r="149" customHeight="1" spans="1:26">
      <c r="A149" s="5"/>
      <c r="B149" s="5"/>
      <c r="C149" s="1"/>
      <c r="D149" s="7" t="s">
        <v>481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1" t="s">
        <v>273</v>
      </c>
      <c r="S149" s="5"/>
      <c r="T149" s="5"/>
      <c r="U149" s="5"/>
      <c r="V149" s="5"/>
      <c r="W149" s="5"/>
      <c r="X149" s="5"/>
      <c r="Y149" s="5"/>
      <c r="Z149" s="5"/>
    </row>
    <row r="150" customHeight="1" spans="1:26">
      <c r="A150" s="5"/>
      <c r="B150" s="5"/>
      <c r="C150" s="1"/>
      <c r="D150" s="18" t="s">
        <v>304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Height="1" spans="1:26">
      <c r="A151" s="5"/>
      <c r="B151" s="5"/>
      <c r="C151" s="1"/>
      <c r="D151" s="7" t="s">
        <v>483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1" t="s">
        <v>202</v>
      </c>
      <c r="S151" s="5"/>
      <c r="T151" s="5"/>
      <c r="U151" s="5"/>
      <c r="V151" s="5"/>
      <c r="W151" s="5"/>
      <c r="X151" s="5"/>
      <c r="Y151" s="5"/>
      <c r="Z151" s="5"/>
    </row>
    <row r="152" customHeight="1" spans="1:26">
      <c r="A152" s="5"/>
      <c r="B152" s="5"/>
      <c r="C152" s="1" t="s">
        <v>173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Height="1" spans="1:26">
      <c r="A153" s="5"/>
      <c r="B153" s="1"/>
      <c r="C153" s="7" t="s">
        <v>484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1" t="s">
        <v>224</v>
      </c>
      <c r="S153" s="5"/>
      <c r="T153" s="5"/>
      <c r="U153" s="5"/>
      <c r="V153" s="5"/>
      <c r="W153" s="5"/>
      <c r="X153" s="5"/>
      <c r="Y153" s="5"/>
      <c r="Z153" s="5"/>
    </row>
    <row r="154" customHeight="1" spans="1:26">
      <c r="A154" s="5"/>
      <c r="B154" s="1"/>
      <c r="C154" s="7" t="s">
        <v>485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1" t="s">
        <v>197</v>
      </c>
      <c r="S154" s="5"/>
      <c r="T154" s="5"/>
      <c r="U154" s="5"/>
      <c r="V154" s="5"/>
      <c r="W154" s="5"/>
      <c r="X154" s="5"/>
      <c r="Y154" s="5"/>
      <c r="Z154" s="5"/>
    </row>
    <row r="155" customHeight="1" spans="1:26">
      <c r="A155" s="5"/>
      <c r="B155" s="1"/>
      <c r="C155" s="7" t="s">
        <v>486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1" t="s">
        <v>197</v>
      </c>
      <c r="S155" s="5"/>
      <c r="T155" s="5"/>
      <c r="U155" s="5"/>
      <c r="V155" s="5"/>
      <c r="W155" s="5"/>
      <c r="X155" s="5"/>
      <c r="Y155" s="5"/>
      <c r="Z155" s="5"/>
    </row>
    <row r="156" customHeight="1" spans="1:26">
      <c r="A156" s="5"/>
      <c r="B156" s="1"/>
      <c r="C156" s="18" t="s">
        <v>391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Height="1" spans="1:26">
      <c r="A157" s="5"/>
      <c r="B157" s="1"/>
      <c r="C157" s="7" t="s">
        <v>487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1" t="s">
        <v>202</v>
      </c>
      <c r="S157" s="5"/>
      <c r="T157" s="5"/>
      <c r="U157" s="5"/>
      <c r="V157" s="5"/>
      <c r="W157" s="5"/>
      <c r="X157" s="5"/>
      <c r="Y157" s="5"/>
      <c r="Z157" s="5"/>
    </row>
    <row r="158" customHeight="1" spans="1:26">
      <c r="A158" s="5"/>
      <c r="B158" s="1"/>
      <c r="C158" s="7" t="s">
        <v>488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1" t="s">
        <v>197</v>
      </c>
      <c r="S158" s="5"/>
      <c r="T158" s="5"/>
      <c r="U158" s="5"/>
      <c r="V158" s="5"/>
      <c r="W158" s="5"/>
      <c r="X158" s="5"/>
      <c r="Y158" s="5"/>
      <c r="Z158" s="5"/>
    </row>
    <row r="159" customHeight="1" spans="1:26">
      <c r="A159" s="5"/>
      <c r="B159" s="1" t="s">
        <v>173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Height="1" spans="1:26">
      <c r="A160" s="5"/>
      <c r="B160" s="7" t="s">
        <v>489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1" t="s">
        <v>224</v>
      </c>
      <c r="S160" s="5"/>
      <c r="T160" s="5"/>
      <c r="U160" s="5"/>
      <c r="V160" s="5"/>
      <c r="W160" s="5"/>
      <c r="X160" s="5"/>
      <c r="Y160" s="5"/>
      <c r="Z160" s="5"/>
    </row>
    <row r="161" customHeight="1" spans="1:26">
      <c r="A161" s="5"/>
      <c r="B161" s="6" t="s">
        <v>490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1" t="s">
        <v>197</v>
      </c>
      <c r="S161" s="5"/>
      <c r="T161" s="5"/>
      <c r="U161" s="5"/>
      <c r="V161" s="5"/>
      <c r="W161" s="5"/>
      <c r="X161" s="5"/>
      <c r="Y161" s="5"/>
      <c r="Z161" s="5"/>
    </row>
    <row r="162" customHeight="1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Height="1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Height="1" spans="1:26">
      <c r="A164" s="5"/>
      <c r="B164" s="1" t="s">
        <v>491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Height="1" spans="1:26">
      <c r="A165" s="5"/>
      <c r="B165" s="1" t="s">
        <v>492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Height="1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Height="1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Height="1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Height="1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Height="1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Height="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Height="1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Height="1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Height="1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Height="1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Height="1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Height="1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Height="1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Height="1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Height="1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Height="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Height="1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Height="1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Height="1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Height="1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Height="1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Height="1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Height="1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Height="1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Height="1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Height="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Height="1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Height="1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Height="1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Height="1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Height="1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Height="1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Height="1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Height="1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Height="1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Height="1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Height="1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Height="1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Height="1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Height="1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Height="1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Height="1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Height="1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Height="1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Height="1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Height="1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Height="1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Height="1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Height="1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Height="1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Height="1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Height="1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Height="1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Height="1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Height="1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Height="1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Height="1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Height="1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Height="1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Height="1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Height="1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Height="1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Height="1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Height="1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Height="1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Height="1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Height="1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Height="1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Height="1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Height="1" spans="1:2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Height="1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Height="1" spans="1:2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Height="1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Height="1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Height="1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Height="1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Height="1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Height="1" spans="1:2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Height="1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Height="1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Height="1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Height="1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Height="1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Height="1" spans="1:2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Height="1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Height="1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Height="1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Height="1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Height="1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Height="1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Height="1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Height="1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Height="1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Height="1" spans="1:2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Height="1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Height="1" spans="1:2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Height="1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Height="1" spans="1:2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Height="1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Height="1" spans="1:2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Height="1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Height="1" spans="1:2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Height="1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Height="1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Height="1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Height="1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Height="1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Height="1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Height="1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Height="1" spans="1:2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Height="1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Height="1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Height="1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Height="1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Height="1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Height="1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Height="1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Height="1" spans="1:2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Height="1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Height="1" spans="1:2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Height="1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Height="1" spans="1:2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Height="1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Height="1" spans="1:2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Height="1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Height="1" spans="1:2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Height="1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Height="1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Height="1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Height="1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Height="1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Height="1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Height="1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Height="1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Height="1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Height="1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Height="1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Height="1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Height="1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Height="1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Height="1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Height="1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Height="1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Height="1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Height="1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Height="1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Height="1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Height="1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Height="1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Height="1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Height="1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Height="1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Height="1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Height="1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Height="1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Height="1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Height="1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Height="1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Height="1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Height="1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Height="1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Height="1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Height="1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Height="1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Height="1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Height="1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Height="1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Height="1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Height="1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Height="1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Height="1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Height="1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Height="1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Height="1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Height="1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Height="1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Height="1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Height="1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Height="1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Height="1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Height="1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Height="1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Height="1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Height="1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Height="1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Height="1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Height="1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Height="1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Height="1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Height="1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Height="1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Height="1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Height="1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Height="1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Height="1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Height="1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Height="1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Height="1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Height="1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Height="1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Height="1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Height="1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Height="1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Height="1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Height="1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Height="1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Height="1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Height="1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Height="1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Height="1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Height="1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Height="1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Height="1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Height="1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Height="1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Height="1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Height="1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Height="1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Height="1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Height="1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Height="1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Height="1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Height="1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Height="1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Height="1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Height="1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Height="1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Height="1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Height="1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Height="1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Height="1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Height="1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Height="1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Height="1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Height="1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Height="1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Height="1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Height="1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Height="1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Height="1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Height="1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Height="1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Height="1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Height="1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Height="1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Height="1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Height="1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Height="1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Height="1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Height="1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Height="1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Height="1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Height="1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Height="1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Height="1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Height="1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Height="1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Height="1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Height="1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Height="1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Height="1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Height="1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Height="1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Height="1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Height="1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Height="1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Height="1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Height="1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Height="1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Height="1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Height="1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Height="1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Height="1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Height="1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Height="1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Height="1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Height="1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Height="1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Height="1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Height="1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Height="1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Height="1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Height="1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Height="1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Height="1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Height="1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Height="1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Height="1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Height="1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Height="1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Height="1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Height="1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Height="1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Height="1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Height="1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Height="1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Height="1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Height="1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Height="1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Height="1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Height="1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Height="1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Height="1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Height="1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Height="1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Height="1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Height="1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Height="1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Height="1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Height="1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Height="1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Height="1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Height="1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Height="1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Height="1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Height="1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Height="1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Height="1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Height="1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Height="1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Height="1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Height="1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Height="1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Height="1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Height="1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Height="1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Height="1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Height="1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Height="1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Height="1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Height="1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Height="1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Height="1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Height="1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Height="1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Height="1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Height="1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Height="1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Height="1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Height="1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Height="1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Height="1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Height="1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Height="1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Height="1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Height="1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Height="1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Height="1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Height="1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Height="1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Height="1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Height="1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Height="1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Height="1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Height="1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Height="1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Height="1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Height="1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Height="1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Height="1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Height="1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Height="1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Height="1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Height="1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Height="1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Height="1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Height="1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Height="1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Height="1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Height="1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Height="1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Height="1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Height="1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Height="1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Height="1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Height="1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Height="1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Height="1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Height="1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Height="1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Height="1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Height="1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Height="1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Height="1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Height="1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Height="1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Height="1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Height="1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Height="1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Height="1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Height="1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Height="1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Height="1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Height="1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Height="1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Height="1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Height="1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Height="1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Height="1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Height="1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Height="1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Height="1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Height="1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Height="1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Height="1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Height="1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Height="1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Height="1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Height="1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Height="1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Height="1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Height="1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Height="1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Height="1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Height="1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Height="1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Height="1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Height="1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Height="1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Height="1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Height="1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Height="1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Height="1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Height="1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Height="1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Height="1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Height="1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Height="1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Height="1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Height="1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Height="1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Height="1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Height="1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Height="1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Height="1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Height="1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Height="1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Height="1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Height="1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Height="1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Height="1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Height="1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Height="1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Height="1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Height="1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Height="1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Height="1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Height="1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Height="1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Height="1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Height="1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Height="1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Height="1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Height="1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Height="1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Height="1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Height="1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Height="1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Height="1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Height="1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Height="1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Height="1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Height="1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Height="1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Height="1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Height="1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Height="1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Height="1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Height="1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Height="1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Height="1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Height="1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Height="1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Height="1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Height="1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Height="1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Height="1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Height="1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Height="1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Height="1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Height="1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Height="1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Height="1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Height="1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Height="1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Height="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Height="1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Height="1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Height="1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Height="1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Height="1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Height="1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Height="1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Height="1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Height="1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Height="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Height="1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Height="1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Height="1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Height="1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Height="1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Height="1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Height="1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Height="1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Height="1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Height="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Height="1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Height="1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Height="1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Height="1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Height="1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Height="1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Height="1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Height="1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Height="1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Height="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Height="1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Height="1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Height="1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Height="1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Height="1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Height="1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Height="1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Height="1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Height="1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Height="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Height="1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Height="1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Height="1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Height="1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Height="1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Height="1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Height="1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Height="1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Height="1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Height="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Height="1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Height="1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Height="1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Height="1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Height="1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Height="1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Height="1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Height="1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Height="1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Height="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Height="1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Height="1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Height="1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Height="1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Height="1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Height="1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Height="1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Height="1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Height="1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Height="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Height="1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Height="1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Height="1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Height="1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Height="1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Height="1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Height="1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Height="1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Height="1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Height="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Height="1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Height="1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Height="1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Height="1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Height="1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Height="1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Height="1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Height="1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Height="1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Height="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Height="1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Height="1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Height="1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Height="1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Height="1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Height="1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Height="1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Height="1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Height="1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Height="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Height="1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Height="1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Height="1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Height="1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Height="1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Height="1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Height="1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Height="1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Height="1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Height="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Height="1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Height="1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Height="1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Height="1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Height="1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Height="1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Height="1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Height="1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Height="1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Height="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Height="1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Height="1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Height="1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Height="1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Height="1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Height="1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Height="1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Height="1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Height="1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Height="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Height="1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Height="1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Height="1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Height="1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Height="1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Height="1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Height="1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Height="1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Height="1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Height="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Height="1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Height="1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Height="1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Height="1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Height="1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Height="1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Height="1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Height="1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Height="1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Height="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Height="1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Height="1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Height="1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Height="1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Height="1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Height="1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Height="1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Height="1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Height="1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Height="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Height="1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Height="1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Height="1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Height="1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Height="1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Height="1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Height="1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Height="1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Height="1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Height="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Height="1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Height="1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Height="1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Height="1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Height="1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Height="1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Height="1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Height="1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Height="1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Height="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Height="1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Height="1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Height="1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Height="1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Height="1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Height="1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Height="1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Height="1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Height="1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Height="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Height="1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Height="1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Height="1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Height="1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Height="1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Height="1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Height="1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Height="1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Height="1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Height="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Height="1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Height="1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Height="1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Height="1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Height="1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Height="1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Height="1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Height="1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Height="1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Height="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Height="1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Height="1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Height="1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Height="1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Height="1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Height="1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Height="1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Height="1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Height="1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Height="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Height="1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Height="1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Height="1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Height="1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Height="1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Height="1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Height="1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Height="1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Height="1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Height="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Height="1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Height="1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Height="1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Height="1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Height="1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Height="1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Height="1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Height="1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Height="1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Height="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Height="1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Height="1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Height="1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Height="1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Height="1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Height="1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Height="1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Height="1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Height="1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Height="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Height="1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Height="1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Height="1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Height="1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Height="1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Height="1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Height="1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Height="1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Height="1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Height="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Height="1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Height="1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Height="1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Height="1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Height="1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Height="1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Height="1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Height="1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Height="1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Height="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Height="1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Height="1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Height="1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Height="1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Height="1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Height="1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Height="1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Height="1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Height="1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Height="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Height="1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Height="1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Height="1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Height="1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Height="1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Height="1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Height="1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Height="1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Height="1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Height="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Height="1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Height="1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Height="1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Height="1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Height="1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Height="1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Height="1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Height="1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Height="1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Height="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Height="1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Height="1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Height="1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Height="1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Height="1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Height="1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Height="1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Height="1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Height="1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Height="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Height="1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Height="1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Height="1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Height="1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Height="1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Height="1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Height="1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Height="1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Height="1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Height="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Height="1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Height="1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Height="1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Height="1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Height="1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Height="1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Height="1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Height="1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Height="1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Height="1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Height="1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Height="1" spans="1:2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Height="1" spans="1:2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Height="1" spans="1:2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Height="1" spans="1:2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Height="1" spans="1:2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Height="1" spans="1:2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Height="1" spans="1:2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Height="1" spans="1:2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Height="1" spans="1:2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Height="1" spans="1:2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Height="1" spans="1:2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Height="1" spans="1:2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Height="1" spans="1:2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Height="1" spans="1:2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Height="1" spans="1:2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Height="1" spans="1:2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Height="1" spans="1:2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Height="1" spans="1:26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customHeight="1" spans="1:26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customHeight="1" spans="1:26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customHeight="1" spans="1:26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customHeight="1" spans="1:26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customHeight="1" spans="1:26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customHeight="1" spans="1:2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customHeight="1" spans="1:26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customHeight="1" spans="1:26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customHeight="1" spans="1:26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customHeight="1" spans="1:26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customHeight="1" spans="1:26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customHeight="1" spans="1:26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customHeight="1" spans="1:26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customHeight="1" spans="1:26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customHeight="1" spans="1:26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customHeight="1" spans="1:2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customHeight="1" spans="1:26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customHeight="1" spans="1:26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customHeight="1" spans="1:26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customHeight="1" spans="1:26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customHeight="1" spans="1:26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customHeight="1" spans="1:26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customHeight="1" spans="1:26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customHeight="1" spans="1:26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customHeight="1" spans="1:26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customHeight="1" spans="1: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D1009"/>
  <sheetViews>
    <sheetView zoomScale="56" zoomScaleNormal="56" topLeftCell="A16" workbookViewId="0">
      <selection activeCell="A1" sqref="A1"/>
    </sheetView>
  </sheetViews>
  <sheetFormatPr defaultColWidth="12.6296296296296" defaultRowHeight="15.75" customHeight="1"/>
  <sheetData>
    <row r="1" ht="37.2" spans="1:30">
      <c r="A1" s="5"/>
      <c r="B1" s="6" t="s">
        <v>103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ht="37.2" spans="1:30">
      <c r="A2" s="5"/>
      <c r="B2" s="1" t="s">
        <v>493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ht="41.25" customHeight="1" spans="1:30">
      <c r="A3" s="5"/>
      <c r="B3" s="5"/>
      <c r="C3" s="7" t="s">
        <v>494</v>
      </c>
      <c r="D3" s="5"/>
      <c r="E3" s="5"/>
      <c r="F3" s="1" t="s">
        <v>273</v>
      </c>
      <c r="G3" s="5"/>
      <c r="H3" s="5"/>
      <c r="I3" s="5"/>
      <c r="J3" s="1">
        <v>0</v>
      </c>
      <c r="K3" s="1">
        <v>1</v>
      </c>
      <c r="L3" s="1">
        <v>2</v>
      </c>
      <c r="M3" s="1">
        <v>3</v>
      </c>
      <c r="N3" s="1">
        <v>4</v>
      </c>
      <c r="O3" s="1">
        <v>5</v>
      </c>
      <c r="P3" s="1">
        <v>6</v>
      </c>
      <c r="Q3" s="1">
        <v>7</v>
      </c>
      <c r="R3" s="1">
        <v>8</v>
      </c>
      <c r="S3" s="1">
        <v>9</v>
      </c>
      <c r="T3" s="1">
        <v>10</v>
      </c>
      <c r="U3" s="1">
        <v>11</v>
      </c>
      <c r="V3" s="1">
        <v>12</v>
      </c>
      <c r="W3" s="5"/>
      <c r="X3" s="5"/>
      <c r="Y3" s="5"/>
      <c r="Z3" s="5"/>
      <c r="AA3" s="5"/>
      <c r="AB3" s="5"/>
      <c r="AC3" s="5"/>
      <c r="AD3" s="5"/>
    </row>
    <row r="4" ht="37.2" spans="1:30">
      <c r="A4" s="5"/>
      <c r="B4" s="5"/>
      <c r="C4" s="7" t="s">
        <v>495</v>
      </c>
      <c r="D4" s="5"/>
      <c r="E4" s="5"/>
      <c r="F4" s="1" t="s">
        <v>197</v>
      </c>
      <c r="G4" s="5"/>
      <c r="H4" s="5"/>
      <c r="I4" s="5"/>
      <c r="J4" s="1" t="s">
        <v>92</v>
      </c>
      <c r="K4" s="5"/>
      <c r="L4" s="5"/>
      <c r="M4" s="5"/>
      <c r="N4" s="5"/>
      <c r="O4" s="5"/>
      <c r="P4" s="1" t="s">
        <v>9</v>
      </c>
      <c r="Q4" s="1"/>
      <c r="R4" s="5"/>
      <c r="S4" s="5"/>
      <c r="T4" s="5"/>
      <c r="U4" s="5"/>
      <c r="V4" s="1" t="s">
        <v>496</v>
      </c>
      <c r="W4" s="1">
        <v>2</v>
      </c>
      <c r="X4" s="5"/>
      <c r="Y4" s="5"/>
      <c r="Z4" s="5"/>
      <c r="AA4" s="5"/>
      <c r="AB4" s="5"/>
      <c r="AC4" s="5"/>
      <c r="AD4" s="5"/>
    </row>
    <row r="5" ht="37.2" spans="1:30">
      <c r="A5" s="5"/>
      <c r="B5" s="5"/>
      <c r="C5" s="1" t="s">
        <v>497</v>
      </c>
      <c r="D5" s="5"/>
      <c r="E5" s="5"/>
      <c r="F5" s="5"/>
      <c r="G5" s="5"/>
      <c r="H5" s="5"/>
      <c r="I5" s="5"/>
      <c r="J5" s="1"/>
      <c r="K5" s="5"/>
      <c r="L5" s="5"/>
      <c r="M5" s="5"/>
      <c r="N5" s="5"/>
      <c r="O5" s="5"/>
      <c r="P5" s="5"/>
      <c r="Q5" s="1" t="s">
        <v>92</v>
      </c>
      <c r="R5" s="5"/>
      <c r="S5" s="1" t="s">
        <v>9</v>
      </c>
      <c r="T5" s="5"/>
      <c r="U5" s="5"/>
      <c r="V5" s="1" t="s">
        <v>496</v>
      </c>
      <c r="W5" s="1">
        <v>2</v>
      </c>
      <c r="X5" s="5"/>
      <c r="Y5" s="5"/>
      <c r="Z5" s="5"/>
      <c r="AA5" s="5"/>
      <c r="AB5" s="5"/>
      <c r="AC5" s="5"/>
      <c r="AD5" s="5"/>
    </row>
    <row r="6" ht="37.2" hidden="1" spans="1:30">
      <c r="A6" s="5"/>
      <c r="B6" s="1"/>
      <c r="C6" s="7" t="s">
        <v>494</v>
      </c>
      <c r="D6" s="5"/>
      <c r="E6" s="5"/>
      <c r="F6" s="1" t="s">
        <v>202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ht="37.2" spans="1:30">
      <c r="A7" s="5"/>
      <c r="B7" s="1"/>
      <c r="C7" s="7" t="s">
        <v>495</v>
      </c>
      <c r="D7" s="5"/>
      <c r="E7" s="5"/>
      <c r="F7" s="1" t="s">
        <v>202</v>
      </c>
      <c r="G7" s="5"/>
      <c r="H7" s="5"/>
      <c r="I7" s="5"/>
      <c r="J7" s="1"/>
      <c r="K7" s="5"/>
      <c r="L7" s="5"/>
      <c r="M7" s="5"/>
      <c r="N7" s="5"/>
      <c r="O7" s="5"/>
      <c r="P7" s="5"/>
      <c r="Q7" s="5"/>
      <c r="R7" s="1"/>
      <c r="S7" s="5"/>
      <c r="T7" s="1" t="s">
        <v>92</v>
      </c>
      <c r="U7" s="1" t="s">
        <v>9</v>
      </c>
      <c r="V7" s="1" t="s">
        <v>496</v>
      </c>
      <c r="W7" s="1">
        <v>2</v>
      </c>
      <c r="X7" s="5"/>
      <c r="Y7" s="5"/>
      <c r="Z7" s="5"/>
      <c r="AA7" s="5"/>
      <c r="AB7" s="5"/>
      <c r="AC7" s="5"/>
      <c r="AD7" s="5"/>
    </row>
    <row r="8" ht="37.2" spans="1:30">
      <c r="A8" s="5"/>
      <c r="B8" s="1" t="s">
        <v>143</v>
      </c>
      <c r="C8" s="1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1" t="s">
        <v>92</v>
      </c>
      <c r="V8" s="1" t="s">
        <v>498</v>
      </c>
      <c r="W8" s="1">
        <v>2</v>
      </c>
      <c r="X8" s="5"/>
      <c r="Y8" s="5"/>
      <c r="Z8" s="5"/>
      <c r="AA8" s="5"/>
      <c r="AB8" s="5"/>
      <c r="AC8" s="5"/>
      <c r="AD8" s="5"/>
    </row>
    <row r="9" ht="37.2" spans="1:30">
      <c r="A9" s="5"/>
      <c r="B9" s="5"/>
      <c r="C9" s="7" t="s">
        <v>499</v>
      </c>
      <c r="D9" s="5"/>
      <c r="E9" s="5"/>
      <c r="F9" s="1" t="s">
        <v>273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1"/>
      <c r="V9" s="1"/>
      <c r="W9" s="5"/>
      <c r="X9" s="5"/>
      <c r="Y9" s="5"/>
      <c r="Z9" s="5"/>
      <c r="AA9" s="5"/>
      <c r="AB9" s="5"/>
      <c r="AC9" s="5"/>
      <c r="AD9" s="5"/>
    </row>
    <row r="10" ht="37.2" spans="1:30">
      <c r="A10" s="5"/>
      <c r="B10" s="5"/>
      <c r="C10" s="7" t="s">
        <v>500</v>
      </c>
      <c r="D10" s="5"/>
      <c r="E10" s="5"/>
      <c r="F10" s="1" t="s">
        <v>197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1"/>
      <c r="W10" s="1"/>
      <c r="X10" s="5"/>
      <c r="Y10" s="5"/>
      <c r="Z10" s="5"/>
      <c r="AA10" s="5"/>
      <c r="AB10" s="5"/>
      <c r="AC10" s="5"/>
      <c r="AD10" s="5"/>
    </row>
    <row r="11" ht="37.2" spans="1:30">
      <c r="A11" s="5"/>
      <c r="B11" s="5"/>
      <c r="C11" s="1" t="s">
        <v>501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ht="37.2" hidden="1" spans="1:30">
      <c r="A12" s="5"/>
      <c r="B12" s="5"/>
      <c r="C12" s="7" t="s">
        <v>502</v>
      </c>
      <c r="D12" s="5"/>
      <c r="E12" s="5"/>
      <c r="F12" s="1" t="s">
        <v>202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ht="37.2" spans="1:30">
      <c r="A13" s="5"/>
      <c r="B13" s="5"/>
      <c r="C13" s="7" t="s">
        <v>495</v>
      </c>
      <c r="D13" s="5"/>
      <c r="E13" s="5"/>
      <c r="F13" s="1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ht="37.2" spans="1:30">
      <c r="A14" s="5"/>
      <c r="B14" s="6" t="s">
        <v>495</v>
      </c>
      <c r="C14" s="5"/>
      <c r="D14" s="5"/>
      <c r="E14" s="5"/>
      <c r="F14" s="1" t="s">
        <v>273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ht="37.2" spans="1:30">
      <c r="A15" s="5"/>
      <c r="B15" s="6"/>
      <c r="C15" s="5"/>
      <c r="D15" s="5"/>
      <c r="E15" s="5"/>
      <c r="F15" s="5"/>
      <c r="G15" s="5"/>
      <c r="H15" s="5"/>
      <c r="I15" s="5"/>
      <c r="J15" s="6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ht="37.2" spans="1:30">
      <c r="A16" s="5"/>
      <c r="B16" s="6" t="s">
        <v>103</v>
      </c>
      <c r="C16" s="5"/>
      <c r="D16" s="5"/>
      <c r="E16" s="5"/>
      <c r="F16" s="5"/>
      <c r="G16" s="5"/>
      <c r="H16" s="5"/>
      <c r="I16" s="5"/>
      <c r="J16" s="6" t="s">
        <v>103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ht="37.2" spans="1:30">
      <c r="A17" s="5"/>
      <c r="B17" s="7" t="s">
        <v>334</v>
      </c>
      <c r="C17" s="5"/>
      <c r="D17" s="1" t="s">
        <v>130</v>
      </c>
      <c r="E17" s="5"/>
      <c r="F17" s="5"/>
      <c r="G17" s="5"/>
      <c r="H17" s="5"/>
      <c r="I17" s="5"/>
      <c r="J17" s="1" t="s">
        <v>503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ht="37.2" spans="1:30">
      <c r="A18" s="5"/>
      <c r="B18" s="1" t="s">
        <v>151</v>
      </c>
      <c r="C18" s="5"/>
      <c r="D18" s="5"/>
      <c r="E18" s="5"/>
      <c r="F18" s="5"/>
      <c r="G18" s="5"/>
      <c r="H18" s="5"/>
      <c r="I18" s="5"/>
      <c r="J18" s="5"/>
      <c r="K18" s="7" t="s">
        <v>504</v>
      </c>
      <c r="L18" s="5"/>
      <c r="M18" s="5"/>
      <c r="N18" s="1" t="s">
        <v>273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ht="37.2" spans="1:30">
      <c r="A19" s="5"/>
      <c r="B19" s="7" t="s">
        <v>150</v>
      </c>
      <c r="C19" s="5"/>
      <c r="D19" s="1" t="s">
        <v>448</v>
      </c>
      <c r="E19" s="5"/>
      <c r="F19" s="5"/>
      <c r="G19" s="5"/>
      <c r="H19" s="5"/>
      <c r="I19" s="5"/>
      <c r="J19" s="5"/>
      <c r="K19" s="7" t="s">
        <v>505</v>
      </c>
      <c r="L19" s="5"/>
      <c r="M19" s="5"/>
      <c r="N19" s="1" t="s">
        <v>197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ht="37.2" spans="1:30">
      <c r="A20" s="5"/>
      <c r="B20" s="1" t="s">
        <v>154</v>
      </c>
      <c r="C20" s="5"/>
      <c r="D20" s="5"/>
      <c r="E20" s="5"/>
      <c r="F20" s="5"/>
      <c r="G20" s="5"/>
      <c r="H20" s="5"/>
      <c r="I20" s="5"/>
      <c r="J20" s="5"/>
      <c r="K20" s="1" t="s">
        <v>506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ht="37.2" spans="1:30">
      <c r="A21" s="5"/>
      <c r="B21" s="7" t="s">
        <v>157</v>
      </c>
      <c r="C21" s="5"/>
      <c r="D21" s="1" t="s">
        <v>448</v>
      </c>
      <c r="E21" s="5"/>
      <c r="F21" s="5"/>
      <c r="G21" s="5"/>
      <c r="H21" s="5"/>
      <c r="I21" s="5"/>
      <c r="J21" s="5"/>
      <c r="K21" s="7" t="s">
        <v>507</v>
      </c>
      <c r="L21" s="5"/>
      <c r="M21" s="5"/>
      <c r="N21" s="1" t="s">
        <v>448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ht="37.2" spans="1:30">
      <c r="A22" s="5"/>
      <c r="B22" s="1" t="s">
        <v>438</v>
      </c>
      <c r="C22" s="5"/>
      <c r="D22" s="5"/>
      <c r="E22" s="5"/>
      <c r="F22" s="5"/>
      <c r="G22" s="5"/>
      <c r="H22" s="5"/>
      <c r="I22" s="5"/>
      <c r="J22" s="1" t="s">
        <v>173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ht="37.2" spans="1:30">
      <c r="A23" s="5"/>
      <c r="B23" s="5"/>
      <c r="C23" s="7" t="s">
        <v>508</v>
      </c>
      <c r="D23" s="5"/>
      <c r="E23" s="5"/>
      <c r="F23" s="1"/>
      <c r="G23" s="5"/>
      <c r="H23" s="5"/>
      <c r="I23" s="5"/>
      <c r="J23" s="1" t="s">
        <v>143</v>
      </c>
      <c r="K23" s="1" t="s">
        <v>162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ht="37.2" spans="1:30">
      <c r="A24" s="5"/>
      <c r="B24" s="5"/>
      <c r="C24" s="7" t="s">
        <v>340</v>
      </c>
      <c r="D24" s="5"/>
      <c r="E24" s="5"/>
      <c r="F24" s="1" t="s">
        <v>130</v>
      </c>
      <c r="G24" s="5"/>
      <c r="H24" s="5"/>
      <c r="I24" s="5"/>
      <c r="J24" s="5"/>
      <c r="K24" s="7" t="s">
        <v>509</v>
      </c>
      <c r="L24" s="5"/>
      <c r="M24" s="5"/>
      <c r="N24" s="1" t="s">
        <v>273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ht="37.2" spans="1:30">
      <c r="A25" s="5"/>
      <c r="B25" s="5"/>
      <c r="C25" s="1" t="s">
        <v>169</v>
      </c>
      <c r="D25" s="5"/>
      <c r="E25" s="5"/>
      <c r="F25" s="5"/>
      <c r="G25" s="5"/>
      <c r="H25" s="5"/>
      <c r="I25" s="5"/>
      <c r="J25" s="5"/>
      <c r="K25" s="7" t="s">
        <v>510</v>
      </c>
      <c r="L25" s="5"/>
      <c r="M25" s="5"/>
      <c r="N25" s="1" t="s">
        <v>197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ht="37.2" spans="1:30">
      <c r="A26" s="5"/>
      <c r="B26" s="5"/>
      <c r="C26" s="7" t="s">
        <v>342</v>
      </c>
      <c r="D26" s="5"/>
      <c r="E26" s="5"/>
      <c r="F26" s="1" t="s">
        <v>202</v>
      </c>
      <c r="G26" s="5"/>
      <c r="H26" s="5"/>
      <c r="I26" s="5"/>
      <c r="J26" s="5"/>
      <c r="K26" s="1" t="s">
        <v>511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ht="37.2" spans="1:30">
      <c r="A27" s="5"/>
      <c r="B27" s="5"/>
      <c r="C27" s="1" t="s">
        <v>441</v>
      </c>
      <c r="D27" s="5"/>
      <c r="E27" s="5"/>
      <c r="F27" s="5"/>
      <c r="G27" s="5"/>
      <c r="H27" s="5"/>
      <c r="I27" s="5"/>
      <c r="J27" s="5"/>
      <c r="K27" s="7" t="s">
        <v>507</v>
      </c>
      <c r="L27" s="5"/>
      <c r="M27" s="5"/>
      <c r="N27" s="1" t="s">
        <v>448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ht="37.2" spans="1:30">
      <c r="A28" s="5"/>
      <c r="B28" s="1"/>
      <c r="C28" s="7" t="s">
        <v>157</v>
      </c>
      <c r="D28" s="5"/>
      <c r="E28" s="5"/>
      <c r="F28" s="1" t="s">
        <v>448</v>
      </c>
      <c r="G28" s="5"/>
      <c r="H28" s="5"/>
      <c r="I28" s="5"/>
      <c r="J28" s="1" t="s">
        <v>173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ht="37.2" spans="1:30">
      <c r="A29" s="5"/>
      <c r="B29" s="1" t="s">
        <v>173</v>
      </c>
      <c r="C29" s="5"/>
      <c r="D29" s="5"/>
      <c r="E29" s="5"/>
      <c r="F29" s="5"/>
      <c r="G29" s="5"/>
      <c r="H29" s="5"/>
      <c r="I29" s="5"/>
      <c r="J29" s="6" t="s">
        <v>507</v>
      </c>
      <c r="K29" s="5"/>
      <c r="L29" s="5"/>
      <c r="M29" s="5"/>
      <c r="N29" s="1" t="s">
        <v>273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ht="37.2" spans="1:30">
      <c r="A30" s="5"/>
      <c r="B30" s="7" t="s">
        <v>512</v>
      </c>
      <c r="C30" s="5"/>
      <c r="D30" s="5"/>
      <c r="E30" s="5"/>
      <c r="F30" s="1" t="s">
        <v>513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ht="37.2" spans="1:30">
      <c r="A31" s="5"/>
      <c r="B31" s="6" t="s">
        <v>104</v>
      </c>
      <c r="C31" s="5"/>
      <c r="D31" s="5"/>
      <c r="E31" s="5"/>
      <c r="F31" s="1" t="s">
        <v>130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ht="37.2" spans="1:30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ht="37.2" spans="1:30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ht="37.2" spans="1:30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ht="37.2" spans="1:30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ht="37.2" spans="1:30">
      <c r="A36" s="5"/>
      <c r="B36" s="6" t="s">
        <v>514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ht="37.2" spans="1:30">
      <c r="A37" s="5"/>
      <c r="B37" s="7" t="s">
        <v>515</v>
      </c>
      <c r="C37" s="5"/>
      <c r="D37" s="5"/>
      <c r="E37" s="1" t="s">
        <v>197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ht="37.2" spans="1:30">
      <c r="A38" s="5"/>
      <c r="B38" s="1" t="s">
        <v>516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ht="37.2" spans="1:30">
      <c r="A39" s="5"/>
      <c r="B39" s="7" t="s">
        <v>517</v>
      </c>
      <c r="C39" s="5"/>
      <c r="D39" s="5"/>
      <c r="E39" s="1" t="s">
        <v>202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ht="37.2" spans="1:30">
      <c r="A40" s="5"/>
      <c r="B40" s="1" t="s">
        <v>397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ht="37.2" spans="1:30">
      <c r="A41" s="5"/>
      <c r="B41" s="7" t="s">
        <v>518</v>
      </c>
      <c r="C41" s="5"/>
      <c r="D41" s="5"/>
      <c r="E41" s="1" t="s">
        <v>202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ht="37.2" spans="1:30">
      <c r="A42" s="5"/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ht="37.2" spans="1:30">
      <c r="A43" s="5"/>
      <c r="B43" s="1" t="s">
        <v>519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ht="37.2" spans="1:30">
      <c r="A44" s="5"/>
      <c r="B44" s="5"/>
      <c r="C44" s="7" t="s">
        <v>520</v>
      </c>
      <c r="D44" s="5"/>
      <c r="E44" s="5"/>
      <c r="F44" s="5"/>
      <c r="G44" s="5"/>
      <c r="H44" s="1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ht="37.2" spans="1:30">
      <c r="A45" s="5"/>
      <c r="B45" s="5"/>
      <c r="C45" s="7" t="s">
        <v>518</v>
      </c>
      <c r="D45" s="5"/>
      <c r="E45" s="5"/>
      <c r="F45" s="5"/>
      <c r="G45" s="1" t="s">
        <v>197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ht="37.2" spans="1:30">
      <c r="A46" s="5"/>
      <c r="B46" s="5"/>
      <c r="C46" s="1" t="s">
        <v>402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ht="37.2" spans="1:30">
      <c r="A47" s="5"/>
      <c r="B47" s="5"/>
      <c r="C47" s="7" t="s">
        <v>521</v>
      </c>
      <c r="D47" s="5"/>
      <c r="E47" s="5"/>
      <c r="F47" s="5"/>
      <c r="G47" s="1" t="s">
        <v>202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ht="37.2" spans="1:30">
      <c r="A48" s="5"/>
      <c r="B48" s="5"/>
      <c r="C48" s="7" t="s">
        <v>522</v>
      </c>
      <c r="D48" s="5"/>
      <c r="E48" s="5"/>
      <c r="F48" s="5"/>
      <c r="G48" s="1" t="s">
        <v>197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ht="37.2" spans="1:30">
      <c r="A49" s="5"/>
      <c r="B49" s="5"/>
      <c r="C49" s="1" t="s">
        <v>523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ht="37.2" spans="1:30">
      <c r="A50" s="5"/>
      <c r="B50" s="5"/>
      <c r="C50" s="7" t="s">
        <v>518</v>
      </c>
      <c r="D50" s="5"/>
      <c r="E50" s="5"/>
      <c r="F50" s="5"/>
      <c r="G50" s="1" t="s">
        <v>202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ht="37.2" spans="1:30">
      <c r="A51" s="5"/>
      <c r="B51" s="1" t="s">
        <v>173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ht="37.2" spans="1:30">
      <c r="A52" s="5"/>
      <c r="B52" s="7" t="s">
        <v>524</v>
      </c>
      <c r="C52" s="5"/>
      <c r="D52" s="5"/>
      <c r="E52" s="5"/>
      <c r="F52" s="5"/>
      <c r="G52" s="1" t="s">
        <v>278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ht="37.2" spans="1:30">
      <c r="A53" s="5"/>
      <c r="B53" s="6" t="s">
        <v>525</v>
      </c>
      <c r="C53" s="5"/>
      <c r="D53" s="5"/>
      <c r="E53" s="5"/>
      <c r="F53" s="5"/>
      <c r="G53" s="1" t="s">
        <v>197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ht="37.2" spans="1:30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ht="37.2" spans="1:30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ht="37.2" spans="1:30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ht="37.2" spans="1:30">
      <c r="A57" s="5"/>
      <c r="B57" s="6" t="s">
        <v>103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ht="37.2" spans="1:30">
      <c r="A58" s="5"/>
      <c r="B58" s="7" t="s">
        <v>526</v>
      </c>
      <c r="C58" s="5"/>
      <c r="D58" s="5"/>
      <c r="E58" s="5"/>
      <c r="F58" s="5"/>
      <c r="G58" s="1" t="s">
        <v>197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ht="37.2" spans="1:30">
      <c r="A59" s="5"/>
      <c r="B59" s="1" t="s">
        <v>527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ht="37.2" spans="1:30">
      <c r="A60" s="5"/>
      <c r="B60" s="7" t="s">
        <v>528</v>
      </c>
      <c r="C60" s="5"/>
      <c r="D60" s="5"/>
      <c r="E60" s="5"/>
      <c r="F60" s="5"/>
      <c r="G60" s="1" t="s">
        <v>202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ht="37.2" spans="1:30">
      <c r="A61" s="5"/>
      <c r="B61" s="1" t="s">
        <v>100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ht="37.2" spans="1:30">
      <c r="A62" s="5"/>
      <c r="B62" s="7" t="s">
        <v>529</v>
      </c>
      <c r="C62" s="5"/>
      <c r="D62" s="5"/>
      <c r="E62" s="5"/>
      <c r="F62" s="5"/>
      <c r="G62" s="1" t="s">
        <v>202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ht="37.2" spans="1:30">
      <c r="A63" s="5"/>
      <c r="B63" s="1" t="s">
        <v>530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ht="37.2" spans="1:30">
      <c r="A64" s="5"/>
      <c r="B64" s="1"/>
      <c r="C64" s="7" t="s">
        <v>531</v>
      </c>
      <c r="D64" s="5"/>
      <c r="E64" s="5"/>
      <c r="F64" s="5"/>
      <c r="G64" s="1" t="s">
        <v>532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ht="37.2" spans="1:30">
      <c r="A65" s="5"/>
      <c r="B65" s="5"/>
      <c r="C65" s="7" t="s">
        <v>529</v>
      </c>
      <c r="D65" s="5"/>
      <c r="E65" s="5"/>
      <c r="F65" s="5"/>
      <c r="G65" s="1" t="s">
        <v>197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ht="37.2" spans="1:30">
      <c r="A66" s="5"/>
      <c r="B66" s="5"/>
      <c r="C66" s="1" t="s">
        <v>533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ht="37.2" spans="1:30">
      <c r="A67" s="5"/>
      <c r="B67" s="5"/>
      <c r="C67" s="7" t="s">
        <v>534</v>
      </c>
      <c r="D67" s="5"/>
      <c r="E67" s="5"/>
      <c r="F67" s="5"/>
      <c r="G67" s="1" t="s">
        <v>202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ht="37.2" spans="1:30">
      <c r="A68" s="5"/>
      <c r="B68" s="5"/>
      <c r="C68" s="1" t="s">
        <v>535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ht="37.2" spans="1:30">
      <c r="A69" s="5"/>
      <c r="B69" s="5"/>
      <c r="C69" s="7" t="s">
        <v>536</v>
      </c>
      <c r="D69" s="5"/>
      <c r="E69" s="5"/>
      <c r="F69" s="5"/>
      <c r="G69" s="1" t="s">
        <v>202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ht="37.2" spans="1:30">
      <c r="A70" s="5"/>
      <c r="B70" s="1"/>
      <c r="C70" s="7" t="s">
        <v>529</v>
      </c>
      <c r="D70" s="5"/>
      <c r="E70" s="5"/>
      <c r="F70" s="5"/>
      <c r="G70" s="1" t="s">
        <v>197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ht="37.2" spans="1:30">
      <c r="A71" s="5"/>
      <c r="B71" s="1" t="s">
        <v>173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ht="37.2" spans="1:30">
      <c r="A72" s="5"/>
      <c r="B72" s="7" t="s">
        <v>537</v>
      </c>
      <c r="C72" s="5"/>
      <c r="D72" s="5"/>
      <c r="E72" s="5"/>
      <c r="F72" s="5"/>
      <c r="G72" s="1" t="s">
        <v>278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ht="37.2" spans="1:30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ht="37.2" spans="1:30">
      <c r="A74" s="5"/>
      <c r="B74" s="6" t="s">
        <v>368</v>
      </c>
      <c r="C74" s="5"/>
      <c r="D74" s="5"/>
      <c r="E74" s="5"/>
      <c r="F74" s="5"/>
      <c r="G74" s="1" t="s">
        <v>197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ht="37.2" spans="1:30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ht="37.2" spans="1:30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ht="37.2" spans="1:30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ht="37.2" spans="1:30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ht="37.2" spans="1:30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ht="37.2" spans="1:3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ht="37.2" spans="1:30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ht="37.2" spans="1:30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ht="37.2" spans="1:30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ht="37.2" spans="1:30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ht="37.2" spans="1:30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ht="37.2" spans="1:30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ht="37.2" spans="1:30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ht="37.2" spans="1:30">
      <c r="A88" s="5"/>
      <c r="B88" s="1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ht="37.2" spans="1:30">
      <c r="A89" s="5"/>
      <c r="B89" s="6" t="s">
        <v>103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ht="37.2" spans="1:30">
      <c r="A90" s="5"/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ht="37.2" spans="1:30">
      <c r="A91" s="5"/>
      <c r="B91" s="7" t="s">
        <v>538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1" t="s">
        <v>91</v>
      </c>
      <c r="N91" s="1">
        <v>1</v>
      </c>
      <c r="O91" s="1">
        <v>3</v>
      </c>
      <c r="P91" s="1">
        <v>5</v>
      </c>
      <c r="Q91" s="1">
        <v>-5</v>
      </c>
      <c r="R91" s="1">
        <v>-1</v>
      </c>
      <c r="S91" s="1">
        <v>2</v>
      </c>
      <c r="T91" s="1">
        <v>4</v>
      </c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ht="37.2" spans="1:30">
      <c r="A92" s="5"/>
      <c r="B92" s="1" t="s">
        <v>200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1" t="s">
        <v>230</v>
      </c>
      <c r="N92" s="1">
        <v>1</v>
      </c>
      <c r="O92" s="1">
        <v>3</v>
      </c>
      <c r="P92" s="1">
        <v>5</v>
      </c>
      <c r="Q92" s="1">
        <v>-5</v>
      </c>
      <c r="R92" s="1">
        <v>-6</v>
      </c>
      <c r="S92" s="1">
        <v>-4</v>
      </c>
      <c r="T92" s="1">
        <v>0</v>
      </c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ht="37.2" spans="1:30">
      <c r="A93" s="5"/>
      <c r="B93" s="7" t="s">
        <v>539</v>
      </c>
      <c r="C93" s="5"/>
      <c r="D93" s="5"/>
      <c r="E93" s="5"/>
      <c r="F93" s="5"/>
      <c r="G93" s="5"/>
      <c r="H93" s="5"/>
      <c r="I93" s="1"/>
      <c r="J93" s="1"/>
      <c r="K93" s="1"/>
      <c r="L93" s="1"/>
      <c r="M93" s="1" t="s">
        <v>231</v>
      </c>
      <c r="N93" s="1">
        <v>1</v>
      </c>
      <c r="O93" s="1">
        <v>1</v>
      </c>
      <c r="P93" s="1">
        <v>1</v>
      </c>
      <c r="Q93" s="1">
        <v>-5</v>
      </c>
      <c r="R93" s="1">
        <v>-6</v>
      </c>
      <c r="S93" s="1">
        <v>-6</v>
      </c>
      <c r="T93" s="1">
        <v>-6</v>
      </c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ht="37.2" spans="1:30">
      <c r="A94" s="5"/>
      <c r="B94" s="1" t="s">
        <v>204</v>
      </c>
      <c r="C94" s="5"/>
      <c r="D94" s="5"/>
      <c r="E94" s="5"/>
      <c r="F94" s="5"/>
      <c r="G94" s="5"/>
      <c r="H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ht="37.2" spans="1:30">
      <c r="A95" s="5"/>
      <c r="B95" s="7" t="s">
        <v>540</v>
      </c>
      <c r="C95" s="5"/>
      <c r="D95" s="5"/>
      <c r="E95" s="5"/>
      <c r="F95" s="5"/>
      <c r="G95" s="5"/>
      <c r="H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ht="37.2" spans="1:30">
      <c r="A96" s="5"/>
      <c r="B96" s="1" t="s">
        <v>208</v>
      </c>
      <c r="C96" s="5"/>
      <c r="D96" s="5"/>
      <c r="E96" s="5"/>
      <c r="F96" s="5"/>
      <c r="G96" s="5"/>
      <c r="H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ht="37.2" spans="1:30">
      <c r="A97" s="5"/>
      <c r="B97" s="7" t="s">
        <v>541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ht="37.2" spans="1:30">
      <c r="A98" s="5"/>
      <c r="B98" s="1" t="s">
        <v>213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ht="37.2" spans="1:30">
      <c r="A99" s="5"/>
      <c r="B99" s="5"/>
      <c r="C99" s="7" t="s">
        <v>542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ht="37.2" spans="1:30">
      <c r="A100" s="5"/>
      <c r="B100" s="5"/>
      <c r="C100" s="7" t="s">
        <v>543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ht="37.2" spans="1:30">
      <c r="A101" s="5"/>
      <c r="B101" s="5"/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ht="37.2" spans="1:30">
      <c r="A102" s="5"/>
      <c r="B102" s="5"/>
      <c r="C102" s="1" t="s">
        <v>219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ht="37.2" spans="1:30">
      <c r="A103" s="5"/>
      <c r="B103" s="5"/>
      <c r="C103" s="7" t="s">
        <v>544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ht="37.2" spans="1:30">
      <c r="A104" s="5"/>
      <c r="B104" s="5"/>
      <c r="C104" s="1" t="s">
        <v>222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ht="37.2" spans="1:30">
      <c r="A105" s="5"/>
      <c r="B105" s="5"/>
      <c r="C105" s="7" t="s">
        <v>545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ht="37.2" spans="1:30">
      <c r="A106" s="5"/>
      <c r="B106" s="5"/>
      <c r="C106" s="1" t="s">
        <v>227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ht="37.2" spans="1:30">
      <c r="A107" s="5"/>
      <c r="B107" s="5"/>
      <c r="C107" s="7" t="s">
        <v>541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ht="37.2" spans="1:30">
      <c r="A108" s="5"/>
      <c r="B108" s="1" t="s">
        <v>173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ht="37.2" spans="1:30">
      <c r="A109" s="5"/>
      <c r="B109" s="7" t="s">
        <v>546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ht="37.2" spans="1:3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ht="37.2" spans="1:30">
      <c r="A111" s="5"/>
      <c r="B111" s="6" t="s">
        <v>547</v>
      </c>
      <c r="C111" s="5"/>
      <c r="D111" s="5"/>
      <c r="E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ht="37.2" spans="1:30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ht="37.2" spans="1:30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ht="37.2" spans="1:30">
      <c r="A114" s="5"/>
      <c r="B114" s="6" t="s">
        <v>369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ht="37.2" spans="1:30">
      <c r="A115" s="5"/>
      <c r="B115" s="7" t="s">
        <v>548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1" t="s">
        <v>197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ht="37.2" spans="1:30">
      <c r="A116" s="5"/>
      <c r="B116" s="1" t="s">
        <v>549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ht="37.2" spans="1:30">
      <c r="A117" s="5"/>
      <c r="B117" s="7" t="s">
        <v>550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1" t="s">
        <v>202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ht="37.2" spans="1:30">
      <c r="A118" s="5"/>
      <c r="B118" s="1" t="s">
        <v>551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ht="37.2" spans="1:30">
      <c r="A119" s="5"/>
      <c r="B119" s="7" t="s">
        <v>552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"/>
      <c r="P119" s="1" t="s">
        <v>202</v>
      </c>
      <c r="Q119" s="5"/>
      <c r="R119" s="5"/>
      <c r="S119" s="5"/>
      <c r="T119" s="1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ht="37.2" spans="1:30">
      <c r="A120" s="5"/>
      <c r="B120" s="1" t="s">
        <v>378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1"/>
      <c r="Q120" s="1"/>
      <c r="R120" s="1"/>
      <c r="S120" s="1"/>
      <c r="T120" s="1"/>
      <c r="U120" s="1"/>
      <c r="V120" s="5"/>
      <c r="W120" s="5"/>
      <c r="X120" s="5"/>
      <c r="Y120" s="5"/>
      <c r="Z120" s="5"/>
      <c r="AA120" s="5"/>
      <c r="AB120" s="5"/>
      <c r="AC120" s="5"/>
      <c r="AD120" s="5"/>
    </row>
    <row r="121" ht="37.2" spans="1:30">
      <c r="A121" s="5"/>
      <c r="B121" s="5"/>
      <c r="C121" s="7" t="s">
        <v>553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"/>
      <c r="P121" s="1" t="s">
        <v>271</v>
      </c>
      <c r="Q121" s="5"/>
      <c r="R121" s="5"/>
      <c r="S121" s="1"/>
      <c r="T121" s="1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ht="37.2" spans="1:30">
      <c r="A122" s="5"/>
      <c r="B122" s="5"/>
      <c r="C122" s="1" t="s">
        <v>554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ht="37.2" spans="1:30">
      <c r="A123" s="5"/>
      <c r="B123" s="5"/>
      <c r="C123" s="5"/>
      <c r="D123" s="7" t="s">
        <v>555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1" t="s">
        <v>273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ht="37.2" spans="1:30">
      <c r="A124" s="5"/>
      <c r="B124" s="5"/>
      <c r="D124" s="7" t="s">
        <v>556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1" t="s">
        <v>197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ht="37.2" spans="1:30">
      <c r="A125" s="5"/>
      <c r="B125" s="5"/>
      <c r="D125" s="1" t="s">
        <v>557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ht="37.2" spans="1:30">
      <c r="A126" s="5"/>
      <c r="B126" s="5"/>
      <c r="C126" s="5"/>
      <c r="D126" s="7" t="s">
        <v>558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1" t="s">
        <v>202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ht="37.2" spans="1:30">
      <c r="A127" s="5"/>
      <c r="B127" s="5"/>
      <c r="C127" s="1" t="s">
        <v>173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ht="37.2" spans="1:30">
      <c r="A128" s="5"/>
      <c r="C128" s="7" t="s">
        <v>559</v>
      </c>
      <c r="J128" s="5"/>
      <c r="K128" s="5"/>
      <c r="L128" s="5"/>
      <c r="M128" s="5"/>
      <c r="N128" s="5"/>
      <c r="O128" s="5"/>
      <c r="P128" s="1" t="s">
        <v>273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ht="37.2" spans="1:30">
      <c r="A129" s="5"/>
      <c r="B129" s="5"/>
      <c r="C129" s="1" t="s">
        <v>324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ht="37.2" spans="1:30">
      <c r="A130" s="5"/>
      <c r="B130" s="5"/>
      <c r="C130" s="7" t="s">
        <v>560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1" t="s">
        <v>202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ht="37.2" spans="1:30">
      <c r="A131" s="5"/>
      <c r="B131" s="1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ht="37.2" spans="1:30">
      <c r="A132" s="5"/>
      <c r="B132" s="1" t="s">
        <v>173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ht="37.2" spans="1:30">
      <c r="A133" s="5"/>
      <c r="B133" s="7" t="s">
        <v>561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"/>
      <c r="P133" s="1" t="s">
        <v>278</v>
      </c>
      <c r="Q133" s="1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ht="37.2" spans="1:30">
      <c r="A134" s="5"/>
      <c r="B134" s="6" t="s">
        <v>562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1" t="s">
        <v>197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ht="37.2" spans="1:30">
      <c r="A135" s="5"/>
      <c r="B135" s="1" t="s">
        <v>563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ht="37.2" spans="1:30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ht="37.2" spans="1:30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ht="37.2" spans="1:30">
      <c r="A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ht="37.2" spans="1:30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ht="37.2" spans="1:30">
      <c r="A140" s="5"/>
      <c r="B140" s="6" t="s">
        <v>369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ht="37.2" spans="1:30">
      <c r="A141" s="5"/>
      <c r="B141" s="7" t="s">
        <v>564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1" t="s">
        <v>265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ht="37.2" spans="1:30">
      <c r="A142" s="5"/>
      <c r="B142" s="1" t="s">
        <v>565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ht="37.2" spans="1:30">
      <c r="A143" s="5"/>
      <c r="B143" s="7" t="s">
        <v>566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1" t="s">
        <v>132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ht="37.2" spans="1:30">
      <c r="A144" s="5"/>
      <c r="B144" s="1" t="s">
        <v>283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ht="37.2" spans="1:30">
      <c r="A145" s="5"/>
      <c r="B145" s="7" t="s">
        <v>567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1" t="s">
        <v>132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ht="37.2" spans="1:30">
      <c r="A146" s="5"/>
      <c r="B146" s="1" t="s">
        <v>378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ht="37.2" spans="1:30">
      <c r="A147" s="5"/>
      <c r="B147" s="5"/>
      <c r="C147" s="7" t="s">
        <v>568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1" t="s">
        <v>210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ht="37.2" spans="1:30">
      <c r="A148" s="5"/>
      <c r="B148" s="5"/>
      <c r="C148" s="1" t="s">
        <v>554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ht="37.2" spans="1:30">
      <c r="A149" s="5"/>
      <c r="B149" s="5"/>
      <c r="C149" s="5"/>
      <c r="D149" s="7" t="s">
        <v>569</v>
      </c>
      <c r="E149" s="5"/>
      <c r="F149" s="5"/>
      <c r="G149" s="5"/>
      <c r="H149" s="5"/>
      <c r="I149" s="5"/>
      <c r="J149" s="5"/>
      <c r="K149" s="5"/>
      <c r="L149" s="5"/>
      <c r="M149" s="5"/>
      <c r="N149" s="1" t="s">
        <v>149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ht="37.2" spans="1:30">
      <c r="A150" s="5"/>
      <c r="B150" s="5"/>
      <c r="C150" s="1"/>
      <c r="D150" s="7" t="s">
        <v>570</v>
      </c>
      <c r="E150" s="5"/>
      <c r="F150" s="5"/>
      <c r="G150" s="5"/>
      <c r="H150" s="5"/>
      <c r="I150" s="5"/>
      <c r="J150" s="5"/>
      <c r="K150" s="5"/>
      <c r="L150" s="5"/>
      <c r="M150" s="5"/>
      <c r="N150" s="1" t="s">
        <v>265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ht="37.2" spans="1:30">
      <c r="A151" s="5"/>
      <c r="B151" s="5"/>
      <c r="C151" s="5"/>
      <c r="D151" s="1" t="s">
        <v>571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ht="37.2" spans="1:30">
      <c r="A152" s="5"/>
      <c r="B152" s="5"/>
      <c r="D152" s="7" t="s">
        <v>572</v>
      </c>
      <c r="E152" s="5"/>
      <c r="F152" s="5"/>
      <c r="G152" s="5"/>
      <c r="H152" s="5"/>
      <c r="I152" s="5"/>
      <c r="J152" s="5"/>
      <c r="K152" s="5"/>
      <c r="L152" s="5"/>
      <c r="M152" s="5"/>
      <c r="N152" s="1" t="s">
        <v>132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ht="37.2" spans="1:30">
      <c r="A153" s="5"/>
      <c r="B153" s="5"/>
      <c r="C153" s="1" t="s">
        <v>173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ht="37.2" spans="1:30">
      <c r="A154" s="5"/>
      <c r="B154" s="1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ht="37.2" spans="1:30">
      <c r="A155" s="5"/>
      <c r="B155" s="1"/>
      <c r="C155" s="1" t="s">
        <v>255</v>
      </c>
      <c r="D155" s="1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ht="37.2" spans="1:30">
      <c r="A156" s="5"/>
      <c r="B156" s="1"/>
      <c r="C156" s="1"/>
      <c r="D156" s="7" t="s">
        <v>573</v>
      </c>
      <c r="E156" s="5"/>
      <c r="F156" s="5"/>
      <c r="G156" s="5"/>
      <c r="H156" s="5"/>
      <c r="I156" s="5"/>
      <c r="J156" s="5"/>
      <c r="K156" s="5"/>
      <c r="L156" s="5"/>
      <c r="M156" s="5"/>
      <c r="N156" s="1" t="s">
        <v>149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ht="37.2" spans="1:30">
      <c r="A157" s="5"/>
      <c r="B157" s="1"/>
      <c r="C157" s="1"/>
      <c r="D157" s="7" t="s">
        <v>572</v>
      </c>
      <c r="E157" s="5"/>
      <c r="F157" s="5"/>
      <c r="G157" s="5"/>
      <c r="H157" s="5"/>
      <c r="I157" s="5"/>
      <c r="J157" s="5"/>
      <c r="K157" s="5"/>
      <c r="L157" s="5"/>
      <c r="M157" s="5"/>
      <c r="N157" s="1" t="s">
        <v>265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ht="37.2" spans="1:30">
      <c r="A158" s="5"/>
      <c r="B158" s="1"/>
      <c r="C158" s="1" t="s">
        <v>173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ht="37.2" spans="1:30">
      <c r="A159" s="5"/>
      <c r="B159" s="1"/>
      <c r="C159" s="7" t="s">
        <v>574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1" t="s">
        <v>149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ht="37.2" spans="1:30">
      <c r="A160" s="5"/>
      <c r="B160" s="1"/>
      <c r="C160" s="1" t="s">
        <v>324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ht="37.2" spans="1:30">
      <c r="A161" s="5"/>
      <c r="B161" s="1"/>
      <c r="C161" s="7" t="s">
        <v>575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1" t="s">
        <v>132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ht="37.2" spans="1:30">
      <c r="A162" s="5"/>
      <c r="B162" s="1" t="s">
        <v>173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ht="37.2" spans="1:30">
      <c r="A163" s="5"/>
      <c r="B163" s="7" t="s">
        <v>576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1" t="s">
        <v>278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ht="37.2" spans="1:30">
      <c r="A164" s="5"/>
      <c r="B164" s="1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ht="37.2" spans="1:30">
      <c r="A165" s="5"/>
      <c r="B165" s="6" t="s">
        <v>577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1" t="s">
        <v>265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ht="37.2" spans="1:30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ht="37.2" spans="1:30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ht="37.2" spans="1:30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ht="37.2" spans="1:30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ht="37.2" spans="1:3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 t="s">
        <v>103</v>
      </c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ht="37.2" spans="1:30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7" t="s">
        <v>264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ht="37.2" spans="1:30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1" t="s">
        <v>266</v>
      </c>
      <c r="L172" s="5"/>
      <c r="M172" s="5"/>
      <c r="N172" s="5"/>
      <c r="O172" s="5"/>
      <c r="P172" s="5"/>
      <c r="T172" s="1" t="s">
        <v>91</v>
      </c>
      <c r="U172" s="1" t="s">
        <v>578</v>
      </c>
      <c r="V172" s="5"/>
      <c r="W172" s="5"/>
      <c r="X172" s="1" t="s">
        <v>91</v>
      </c>
      <c r="Y172" s="1" t="s">
        <v>578</v>
      </c>
      <c r="Z172" s="5"/>
      <c r="AA172" s="5"/>
      <c r="AB172" s="5"/>
      <c r="AC172" s="5"/>
      <c r="AD172" s="5"/>
    </row>
    <row r="173" ht="37.2" spans="1:30">
      <c r="A173" s="5"/>
      <c r="B173" s="1" t="s">
        <v>378</v>
      </c>
      <c r="C173" s="5"/>
      <c r="D173" s="5"/>
      <c r="E173" s="5"/>
      <c r="F173" s="5"/>
      <c r="G173" s="5"/>
      <c r="H173" s="5"/>
      <c r="I173" s="5"/>
      <c r="J173" s="5"/>
      <c r="K173" s="7" t="s">
        <v>267</v>
      </c>
      <c r="P173" s="5"/>
      <c r="T173" s="1">
        <v>50</v>
      </c>
      <c r="U173" s="1">
        <v>60</v>
      </c>
      <c r="V173" s="5"/>
      <c r="W173" s="5"/>
      <c r="X173" s="1">
        <v>44</v>
      </c>
      <c r="Y173" s="1">
        <v>60</v>
      </c>
      <c r="Z173" s="5"/>
      <c r="AA173" s="5"/>
      <c r="AB173" s="5"/>
      <c r="AC173" s="5"/>
      <c r="AD173" s="5"/>
    </row>
    <row r="174" ht="37.2" spans="1:30">
      <c r="A174" s="5"/>
      <c r="B174" s="5"/>
      <c r="C174" s="7" t="s">
        <v>579</v>
      </c>
      <c r="D174" s="5"/>
      <c r="E174" s="5"/>
      <c r="F174" s="5"/>
      <c r="G174" s="5"/>
      <c r="H174" s="5"/>
      <c r="I174" s="5"/>
      <c r="J174" s="5"/>
      <c r="K174" s="1" t="s">
        <v>268</v>
      </c>
      <c r="L174" s="5"/>
      <c r="M174" s="5"/>
      <c r="N174" s="5"/>
      <c r="O174" s="5"/>
      <c r="P174" s="5"/>
      <c r="T174" s="1">
        <v>50</v>
      </c>
      <c r="U174" s="1">
        <v>10</v>
      </c>
      <c r="V174" s="5"/>
      <c r="W174" s="5"/>
      <c r="X174" s="1">
        <v>44</v>
      </c>
      <c r="Y174" s="1">
        <v>16</v>
      </c>
      <c r="Z174" s="5"/>
      <c r="AA174" s="5"/>
      <c r="AB174" s="5"/>
      <c r="AC174" s="5"/>
      <c r="AD174" s="5"/>
    </row>
    <row r="175" ht="37.2" spans="1:30">
      <c r="A175" s="5"/>
      <c r="B175" s="5"/>
      <c r="C175" s="1"/>
      <c r="D175" s="5"/>
      <c r="E175" s="5"/>
      <c r="F175" s="5"/>
      <c r="G175" s="5"/>
      <c r="H175" s="5"/>
      <c r="I175" s="5"/>
      <c r="J175" s="5"/>
      <c r="K175" s="7" t="s">
        <v>269</v>
      </c>
      <c r="L175" s="5"/>
      <c r="M175" s="5"/>
      <c r="N175" s="5"/>
      <c r="O175" s="5"/>
      <c r="P175" s="5"/>
      <c r="T175" s="1">
        <v>40</v>
      </c>
      <c r="U175" s="1">
        <v>10</v>
      </c>
      <c r="V175" s="5"/>
      <c r="W175" s="5"/>
      <c r="X175" s="1">
        <f>44-16</f>
        <v>28</v>
      </c>
      <c r="Y175" s="1">
        <v>16</v>
      </c>
      <c r="Z175" s="5"/>
      <c r="AA175" s="5"/>
      <c r="AB175" s="5"/>
      <c r="AC175" s="5"/>
      <c r="AD175" s="5"/>
    </row>
    <row r="176" ht="37.2" spans="1:30">
      <c r="A176" s="5"/>
      <c r="B176" s="5"/>
      <c r="C176" s="1" t="s">
        <v>580</v>
      </c>
      <c r="D176" s="5"/>
      <c r="E176" s="5"/>
      <c r="F176" s="5"/>
      <c r="G176" s="5"/>
      <c r="H176" s="5"/>
      <c r="I176" s="5"/>
      <c r="J176" s="5"/>
      <c r="K176" s="1" t="s">
        <v>581</v>
      </c>
      <c r="L176" s="5"/>
      <c r="M176" s="5"/>
      <c r="N176" s="5"/>
      <c r="O176" s="5"/>
      <c r="P176" s="5"/>
      <c r="T176" s="1">
        <v>30</v>
      </c>
      <c r="U176" s="1">
        <v>10</v>
      </c>
      <c r="V176" s="5"/>
      <c r="W176" s="5"/>
      <c r="X176" s="1">
        <f>28-16</f>
        <v>12</v>
      </c>
      <c r="Y176" s="1">
        <v>16</v>
      </c>
      <c r="Z176" s="5"/>
      <c r="AA176" s="5"/>
      <c r="AB176" s="5"/>
      <c r="AC176" s="5"/>
      <c r="AD176" s="5"/>
    </row>
    <row r="177" ht="37.2" spans="1:30">
      <c r="A177" s="5"/>
      <c r="B177" s="5"/>
      <c r="C177" s="1" t="s">
        <v>253</v>
      </c>
      <c r="D177" s="5"/>
      <c r="E177" s="5"/>
      <c r="F177" s="5"/>
      <c r="G177" s="5"/>
      <c r="H177" s="5"/>
      <c r="I177" s="5"/>
      <c r="J177" s="5"/>
      <c r="K177" s="5"/>
      <c r="L177" s="7" t="s">
        <v>270</v>
      </c>
      <c r="M177" s="5"/>
      <c r="N177" s="5"/>
      <c r="O177" s="5"/>
      <c r="P177" s="5"/>
      <c r="T177" s="1">
        <v>20</v>
      </c>
      <c r="U177" s="1">
        <v>10</v>
      </c>
      <c r="V177" s="5"/>
      <c r="W177" s="5"/>
      <c r="X177" s="1">
        <v>12</v>
      </c>
      <c r="Y177" s="1">
        <v>4</v>
      </c>
      <c r="Z177" s="5"/>
      <c r="AA177" s="5"/>
      <c r="AB177" s="5"/>
      <c r="AC177" s="5"/>
      <c r="AD177" s="5"/>
    </row>
    <row r="178" ht="37.2" spans="1:30">
      <c r="A178" s="5"/>
      <c r="B178" s="5"/>
      <c r="C178" s="1" t="s">
        <v>582</v>
      </c>
      <c r="D178" s="5"/>
      <c r="E178" s="5"/>
      <c r="F178" s="5"/>
      <c r="G178" s="5"/>
      <c r="H178" s="5"/>
      <c r="I178" s="5"/>
      <c r="J178" s="5"/>
      <c r="K178" s="5"/>
      <c r="L178" s="1" t="s">
        <v>503</v>
      </c>
      <c r="M178" s="5"/>
      <c r="N178" s="5"/>
      <c r="O178" s="5"/>
      <c r="P178" s="5"/>
      <c r="T178" s="1">
        <v>10</v>
      </c>
      <c r="U178" s="1">
        <v>10</v>
      </c>
      <c r="V178" s="5"/>
      <c r="W178" s="5"/>
      <c r="X178" s="1">
        <v>8</v>
      </c>
      <c r="Y178" s="1">
        <v>4</v>
      </c>
      <c r="Z178" s="5"/>
      <c r="AA178" s="5"/>
      <c r="AB178" s="5"/>
      <c r="AC178" s="5"/>
      <c r="AD178" s="5"/>
    </row>
    <row r="179" ht="37.2" spans="1:30">
      <c r="A179" s="5"/>
      <c r="B179" s="5"/>
      <c r="C179" s="1"/>
      <c r="D179" s="5"/>
      <c r="E179" s="5"/>
      <c r="F179" s="5"/>
      <c r="G179" s="5"/>
      <c r="H179" s="5"/>
      <c r="I179" s="5"/>
      <c r="J179" s="5"/>
      <c r="K179" s="5"/>
      <c r="L179" s="5"/>
      <c r="M179" s="7" t="s">
        <v>583</v>
      </c>
      <c r="N179" s="5"/>
      <c r="O179" s="5"/>
      <c r="P179" s="5"/>
      <c r="T179" s="5"/>
      <c r="U179" s="5"/>
      <c r="V179" s="5"/>
      <c r="W179" s="5"/>
      <c r="X179" s="1"/>
      <c r="Y179" s="1"/>
      <c r="Z179" s="5"/>
      <c r="AA179" s="5"/>
      <c r="AB179" s="5"/>
      <c r="AC179" s="5"/>
      <c r="AD179" s="5"/>
    </row>
    <row r="180" ht="37.2" spans="1:30">
      <c r="A180" s="5"/>
      <c r="B180" s="5"/>
      <c r="C180" s="1"/>
      <c r="D180" s="5"/>
      <c r="E180" s="5"/>
      <c r="F180" s="5"/>
      <c r="G180" s="5"/>
      <c r="H180" s="5"/>
      <c r="I180" s="5"/>
      <c r="J180" s="5"/>
      <c r="K180" s="5"/>
      <c r="L180" s="5"/>
      <c r="M180" s="7" t="s">
        <v>274</v>
      </c>
      <c r="N180" s="5"/>
      <c r="O180" s="5"/>
      <c r="P180" s="5"/>
      <c r="T180" s="5"/>
      <c r="U180" s="5"/>
      <c r="V180" s="5"/>
      <c r="W180" s="5"/>
      <c r="X180" s="1"/>
      <c r="Y180" s="1"/>
      <c r="Z180" s="5"/>
      <c r="AA180" s="5"/>
      <c r="AB180" s="5"/>
      <c r="AC180" s="5"/>
      <c r="AD180" s="5"/>
    </row>
    <row r="181" ht="37.2" spans="1:30">
      <c r="A181" s="5"/>
      <c r="B181" s="5"/>
      <c r="C181" s="1" t="s">
        <v>584</v>
      </c>
      <c r="D181" s="5"/>
      <c r="E181" s="5"/>
      <c r="F181" s="5"/>
      <c r="G181" s="5"/>
      <c r="H181" s="5"/>
      <c r="I181" s="5"/>
      <c r="J181" s="5"/>
      <c r="K181" s="5"/>
      <c r="L181" s="5"/>
      <c r="M181" s="1" t="s">
        <v>585</v>
      </c>
      <c r="N181" s="5"/>
      <c r="O181" s="5"/>
      <c r="P181" s="5"/>
      <c r="T181" s="5"/>
      <c r="U181" s="5"/>
      <c r="V181" s="5"/>
      <c r="W181" s="5"/>
      <c r="X181" s="1">
        <v>4</v>
      </c>
      <c r="Y181" s="1">
        <v>4</v>
      </c>
      <c r="Z181" s="5"/>
      <c r="AA181" s="5"/>
      <c r="AB181" s="5"/>
      <c r="AC181" s="5"/>
      <c r="AD181" s="5"/>
    </row>
    <row r="182" ht="37.2" spans="1:30">
      <c r="A182" s="5"/>
      <c r="B182" s="1"/>
      <c r="C182" s="5"/>
      <c r="D182" s="5"/>
      <c r="E182" s="5"/>
      <c r="F182" s="5"/>
      <c r="G182" s="5"/>
      <c r="H182" s="5"/>
      <c r="I182" s="5"/>
      <c r="J182" s="5"/>
      <c r="K182" s="5"/>
      <c r="L182" s="1"/>
      <c r="M182" s="7" t="s">
        <v>269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ht="37.2" spans="1:30">
      <c r="A183" s="5"/>
      <c r="B183" s="1" t="s">
        <v>173</v>
      </c>
      <c r="C183" s="5"/>
      <c r="D183" s="5"/>
      <c r="E183" s="5"/>
      <c r="F183" s="5"/>
      <c r="G183" s="5"/>
      <c r="H183" s="5"/>
      <c r="I183" s="5"/>
      <c r="J183" s="5"/>
      <c r="K183" s="5"/>
      <c r="L183" s="1" t="s">
        <v>173</v>
      </c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ht="37.2" spans="1:30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1" t="s">
        <v>255</v>
      </c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ht="37.2" spans="1:30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7" t="s">
        <v>586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ht="37.2" spans="1:30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7" t="s">
        <v>277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ht="37.2" spans="1:30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1" t="s">
        <v>587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ht="37.2" spans="1:30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1"/>
      <c r="M188" s="7" t="s">
        <v>269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ht="37.2" spans="1:30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1" t="s">
        <v>173</v>
      </c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ht="37.2" spans="1:3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7" t="s">
        <v>269</v>
      </c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ht="37.2" spans="1:30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1" t="s">
        <v>173</v>
      </c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ht="37.2" spans="1:30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7" t="s">
        <v>279</v>
      </c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ht="37.2" spans="1:30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 t="s">
        <v>588</v>
      </c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ht="37.2" spans="1:30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ht="37.2" spans="1:30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ht="37.2" spans="1:30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ht="37.2" spans="1:30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ht="37.2" spans="1:30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ht="37.2" spans="1:30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ht="37.2" spans="1:3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ht="37.2" spans="1:30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ht="37.2" spans="1:30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ht="37.2" spans="1:30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ht="37.2" spans="1:30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ht="37.2" spans="1:30">
      <c r="A205" s="5"/>
      <c r="B205" s="6" t="s">
        <v>195</v>
      </c>
      <c r="C205" s="5"/>
      <c r="D205" s="5"/>
      <c r="E205" s="5"/>
      <c r="F205" s="5"/>
      <c r="G205" s="5"/>
      <c r="H205" s="5"/>
      <c r="I205" s="5"/>
      <c r="J205" s="5"/>
      <c r="K205" s="5"/>
      <c r="L205" s="6" t="s">
        <v>589</v>
      </c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ht="37.2" spans="1:30">
      <c r="A206" s="5"/>
      <c r="B206" s="7" t="s">
        <v>590</v>
      </c>
      <c r="C206" s="5"/>
      <c r="D206" s="1"/>
      <c r="E206" s="5"/>
      <c r="F206" s="5"/>
      <c r="G206" s="5"/>
      <c r="H206" s="5"/>
      <c r="I206" s="1" t="s">
        <v>197</v>
      </c>
      <c r="J206" s="5"/>
      <c r="K206" s="5"/>
      <c r="L206" s="7" t="s">
        <v>591</v>
      </c>
      <c r="P206" s="5"/>
      <c r="Q206" s="5"/>
      <c r="R206" s="5"/>
      <c r="S206" s="5"/>
      <c r="T206" s="5"/>
      <c r="U206" s="5"/>
      <c r="V206" s="5"/>
      <c r="W206" s="1" t="s">
        <v>91</v>
      </c>
      <c r="X206" s="1" t="s">
        <v>578</v>
      </c>
      <c r="Y206" s="1" t="s">
        <v>592</v>
      </c>
      <c r="Z206" s="1" t="s">
        <v>593</v>
      </c>
      <c r="AA206" s="1"/>
      <c r="AB206" s="1"/>
      <c r="AC206" s="1"/>
      <c r="AD206" s="1"/>
    </row>
    <row r="207" ht="37.2" spans="1:30">
      <c r="A207" s="5"/>
      <c r="B207" s="1" t="s">
        <v>151</v>
      </c>
      <c r="C207" s="5"/>
      <c r="D207" s="5"/>
      <c r="E207" s="5"/>
      <c r="F207" s="5"/>
      <c r="G207" s="5"/>
      <c r="H207" s="5"/>
      <c r="I207" s="5"/>
      <c r="J207" s="5"/>
      <c r="K207" s="5"/>
      <c r="L207" s="1" t="s">
        <v>266</v>
      </c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1">
        <v>5</v>
      </c>
      <c r="X207" s="1">
        <v>2</v>
      </c>
      <c r="Y207" s="1">
        <v>3</v>
      </c>
      <c r="Z207" s="1">
        <v>1</v>
      </c>
      <c r="AA207" s="1"/>
      <c r="AB207" s="1"/>
      <c r="AC207" s="1"/>
      <c r="AD207" s="1"/>
    </row>
    <row r="208" ht="37.2" spans="1:30">
      <c r="A208" s="5"/>
      <c r="B208" s="7" t="s">
        <v>455</v>
      </c>
      <c r="C208" s="5"/>
      <c r="D208" s="1"/>
      <c r="E208" s="5"/>
      <c r="F208" s="5"/>
      <c r="G208" s="5"/>
      <c r="H208" s="5"/>
      <c r="I208" s="1" t="s">
        <v>202</v>
      </c>
      <c r="J208" s="5"/>
      <c r="K208" s="5"/>
      <c r="L208" s="7" t="s">
        <v>594</v>
      </c>
      <c r="Q208" s="5"/>
      <c r="R208" s="5"/>
      <c r="S208" s="5"/>
      <c r="T208" s="5"/>
      <c r="U208" s="5"/>
      <c r="V208" s="5"/>
      <c r="W208" s="1">
        <v>5</v>
      </c>
      <c r="X208" s="1">
        <v>4</v>
      </c>
      <c r="Y208" s="1">
        <v>1</v>
      </c>
      <c r="Z208" s="1"/>
      <c r="AA208" s="1"/>
      <c r="AB208" s="1"/>
      <c r="AC208" s="1"/>
      <c r="AD208" s="1"/>
    </row>
    <row r="209" ht="37.2" spans="1:30">
      <c r="A209" s="5"/>
      <c r="B209" s="1" t="s">
        <v>154</v>
      </c>
      <c r="C209" s="5"/>
      <c r="D209" s="5"/>
      <c r="E209" s="5"/>
      <c r="F209" s="5"/>
      <c r="G209" s="5"/>
      <c r="H209" s="5"/>
      <c r="I209" s="5"/>
      <c r="J209" s="5"/>
      <c r="K209" s="1"/>
      <c r="L209" s="1" t="s">
        <v>268</v>
      </c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ht="37.2" spans="1:30">
      <c r="A210" s="5"/>
      <c r="B210" s="7" t="s">
        <v>337</v>
      </c>
      <c r="C210" s="5"/>
      <c r="D210" s="1"/>
      <c r="E210" s="5"/>
      <c r="F210" s="5"/>
      <c r="G210" s="5"/>
      <c r="H210" s="5"/>
      <c r="I210" s="1" t="s">
        <v>202</v>
      </c>
      <c r="J210" s="5"/>
      <c r="K210" s="1"/>
      <c r="L210" s="7" t="s">
        <v>595</v>
      </c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ht="37.2" spans="1:30">
      <c r="A211" s="5"/>
      <c r="B211" s="1" t="s">
        <v>596</v>
      </c>
      <c r="C211" s="5"/>
      <c r="D211" s="5"/>
      <c r="E211" s="5"/>
      <c r="F211" s="5"/>
      <c r="G211" s="5"/>
      <c r="H211" s="5"/>
      <c r="I211" s="5"/>
      <c r="J211" s="5"/>
      <c r="K211" s="5"/>
      <c r="L211" s="1" t="s">
        <v>581</v>
      </c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ht="37.2" spans="1:30">
      <c r="A212" s="5"/>
      <c r="B212" s="5"/>
      <c r="C212" s="7"/>
      <c r="D212" s="5"/>
      <c r="E212" s="5"/>
      <c r="F212" s="1"/>
      <c r="G212" s="5"/>
      <c r="H212" s="5"/>
      <c r="I212" s="1"/>
      <c r="J212" s="5"/>
      <c r="K212" s="5"/>
      <c r="L212" s="5"/>
      <c r="M212" s="7" t="s">
        <v>597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ht="37.2" spans="1:30">
      <c r="A213" s="5"/>
      <c r="B213" s="5"/>
      <c r="C213" s="7" t="s">
        <v>598</v>
      </c>
      <c r="D213" s="5"/>
      <c r="E213" s="5"/>
      <c r="F213" s="1"/>
      <c r="G213" s="5"/>
      <c r="H213" s="5"/>
      <c r="I213" s="1" t="s">
        <v>210</v>
      </c>
      <c r="J213" s="5"/>
      <c r="K213" s="5"/>
      <c r="L213" s="5"/>
      <c r="M213" s="7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ht="37.2" spans="1:30">
      <c r="A214" s="5"/>
      <c r="B214" s="5"/>
      <c r="C214" s="7" t="s">
        <v>341</v>
      </c>
      <c r="D214" s="5"/>
      <c r="E214" s="5"/>
      <c r="F214" s="1"/>
      <c r="G214" s="5"/>
      <c r="H214" s="5"/>
      <c r="I214" s="1" t="s">
        <v>197</v>
      </c>
      <c r="J214" s="5"/>
      <c r="K214" s="5"/>
      <c r="L214" s="5"/>
      <c r="M214" s="1" t="s">
        <v>503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ht="37.2" spans="1:30">
      <c r="A215" s="5"/>
      <c r="B215" s="5"/>
      <c r="C215" s="1" t="s">
        <v>169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7" t="s">
        <v>599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ht="37.2" spans="1:30">
      <c r="A216" s="5"/>
      <c r="B216" s="5"/>
      <c r="C216" s="7" t="s">
        <v>343</v>
      </c>
      <c r="D216" s="5"/>
      <c r="E216" s="5"/>
      <c r="F216" s="1"/>
      <c r="G216" s="5"/>
      <c r="H216" s="5"/>
      <c r="I216" s="1" t="s">
        <v>202</v>
      </c>
      <c r="J216" s="5"/>
      <c r="K216" s="5"/>
      <c r="L216" s="5"/>
      <c r="M216" s="5"/>
      <c r="N216" s="7" t="s">
        <v>600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ht="37.2" spans="1:30">
      <c r="A217" s="5"/>
      <c r="B217" s="5"/>
      <c r="C217" s="1" t="s">
        <v>441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1" t="s">
        <v>585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ht="37.2" spans="1:30">
      <c r="A218" s="5"/>
      <c r="B218" s="1"/>
      <c r="C218" s="7" t="s">
        <v>344</v>
      </c>
      <c r="D218" s="5"/>
      <c r="E218" s="5"/>
      <c r="F218" s="1"/>
      <c r="G218" s="5"/>
      <c r="H218" s="5"/>
      <c r="I218" s="1" t="s">
        <v>202</v>
      </c>
      <c r="J218" s="5"/>
      <c r="K218" s="5"/>
      <c r="L218" s="5"/>
      <c r="M218" s="1"/>
      <c r="N218" s="7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ht="37.2" spans="1:30">
      <c r="A219" s="5"/>
      <c r="B219" s="1" t="s">
        <v>173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  <c r="N219" s="7" t="s">
        <v>601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ht="37.2" spans="1:30">
      <c r="A220" s="5"/>
      <c r="B220" s="7" t="s">
        <v>602</v>
      </c>
      <c r="C220" s="5"/>
      <c r="D220" s="5"/>
      <c r="E220" s="5"/>
      <c r="F220" s="1"/>
      <c r="G220" s="5"/>
      <c r="H220" s="5"/>
      <c r="I220" s="1" t="s">
        <v>366</v>
      </c>
      <c r="J220" s="5"/>
      <c r="K220" s="5"/>
      <c r="L220" s="5"/>
      <c r="M220" s="1" t="s">
        <v>173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ht="37.2" spans="1:30">
      <c r="A221" s="5"/>
      <c r="B221" s="6" t="s">
        <v>104</v>
      </c>
      <c r="C221" s="5"/>
      <c r="D221" s="5"/>
      <c r="E221" s="5"/>
      <c r="F221" s="1"/>
      <c r="G221" s="5"/>
      <c r="H221" s="5"/>
      <c r="I221" s="1" t="s">
        <v>197</v>
      </c>
      <c r="J221" s="5"/>
      <c r="K221" s="5"/>
      <c r="L221" s="5"/>
      <c r="M221" s="1" t="s">
        <v>255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ht="37.2" spans="1:30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7" t="s">
        <v>603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ht="37.2" spans="1:30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7" t="s">
        <v>604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ht="37.2" spans="1:30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1" t="s">
        <v>587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ht="37.2" spans="1:30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1"/>
      <c r="N225" s="7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ht="37.2" spans="1:30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1"/>
      <c r="N226" s="7" t="s">
        <v>601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ht="37.2" spans="1:30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1" t="s">
        <v>173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ht="37.2" spans="1:30">
      <c r="A228" s="5"/>
      <c r="G228" s="5"/>
      <c r="H228" s="5"/>
      <c r="I228" s="5"/>
      <c r="J228" s="5"/>
      <c r="K228" s="5"/>
      <c r="L228" s="5"/>
      <c r="M228" s="7" t="s">
        <v>605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ht="37.2" spans="1:30">
      <c r="A229" s="5"/>
      <c r="G229" s="5"/>
      <c r="H229" s="5"/>
      <c r="I229" s="5"/>
      <c r="J229" s="5"/>
      <c r="K229" s="5"/>
      <c r="L229" s="1" t="s">
        <v>173</v>
      </c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ht="37.2" spans="1:30">
      <c r="A230" s="5"/>
      <c r="G230" s="5"/>
      <c r="H230" s="5"/>
      <c r="I230" s="5"/>
      <c r="J230" s="5"/>
      <c r="K230" s="5"/>
      <c r="L230" s="7" t="s">
        <v>606</v>
      </c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ht="37.2" spans="1:30">
      <c r="A231" s="5"/>
      <c r="G231" s="5"/>
      <c r="H231" s="5"/>
      <c r="I231" s="5"/>
      <c r="J231" s="5"/>
      <c r="K231" s="5"/>
      <c r="L231" s="6" t="s">
        <v>588</v>
      </c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ht="37.2" spans="1:30">
      <c r="A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ht="37.2" spans="1:30">
      <c r="A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ht="37.2" spans="1:30">
      <c r="A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ht="37.2" spans="1:30">
      <c r="A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ht="37.2" spans="1:30">
      <c r="A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ht="37.2" spans="1:30">
      <c r="A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ht="37.2" spans="1:30">
      <c r="A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ht="37.2" spans="1:30">
      <c r="A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ht="37.2" spans="1:30">
      <c r="A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ht="37.2" spans="1:30">
      <c r="A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ht="37.2" spans="1:30">
      <c r="A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ht="37.2" spans="1:30">
      <c r="A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ht="37.2" spans="1:30">
      <c r="A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ht="37.2" spans="1:30">
      <c r="A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ht="37.2" spans="1:30">
      <c r="A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ht="37.2" spans="1:30">
      <c r="A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ht="37.2" spans="1:30">
      <c r="A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ht="37.2" spans="1:30">
      <c r="A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ht="37.2" spans="1:30">
      <c r="A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ht="37.2" spans="1:30">
      <c r="A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ht="37.2" spans="1:30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ht="37.2" spans="1:30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ht="37.2" spans="1:30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ht="37.2" spans="1:30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ht="37.2" spans="1:30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ht="37.2" spans="1:30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ht="37.2" spans="1:30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ht="37.2" spans="1:30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ht="37.2" spans="1:3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ht="37.2" spans="1:30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ht="37.2" spans="1:30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ht="37.2" spans="1:30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ht="37.2" spans="1:30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ht="37.2" spans="1:30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ht="37.2" spans="1:30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ht="37.2" spans="1:30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ht="37.2" spans="1:30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ht="37.2" spans="1:30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ht="37.2" spans="1:3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ht="37.2" spans="1:30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ht="37.2" spans="1:30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ht="37.2" spans="1:30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ht="37.2" spans="1:30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ht="37.2" spans="1:30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ht="37.2" spans="1:30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ht="37.2" spans="1:30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ht="37.2" spans="1:30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ht="37.2" spans="1:30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ht="37.2" spans="1:3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ht="37.2" spans="1:30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ht="37.2" spans="1:30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ht="37.2" spans="1:30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ht="37.2" spans="1:30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ht="37.2" spans="1:30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ht="37.2" spans="1:30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ht="37.2" spans="1:30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ht="37.2" spans="1:30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ht="37.2" spans="1:30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ht="37.2" spans="1:3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ht="37.2" spans="1:30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ht="37.2" spans="1:30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ht="37.2" spans="1:30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ht="37.2" spans="1:30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ht="37.2" spans="1:30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ht="37.2" spans="1:30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ht="37.2" spans="1:30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ht="37.2" spans="1:30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ht="37.2" spans="1:30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ht="37.2" spans="1:3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ht="37.2" spans="1:30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ht="37.2" spans="1:30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ht="37.2" spans="1:30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ht="37.2" spans="1:30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ht="37.2" spans="1:30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ht="37.2" spans="1:30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ht="37.2" spans="1:30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ht="37.2" spans="1:30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ht="37.2" spans="1:30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ht="37.2" spans="1:3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ht="37.2" spans="1:30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ht="37.2" spans="1:30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ht="37.2" spans="1:30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ht="37.2" spans="1:30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ht="37.2" spans="1:30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ht="37.2" spans="1:30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ht="37.2" spans="1:30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ht="37.2" spans="1:30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ht="37.2" spans="1:30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ht="37.2" spans="1:3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ht="37.2" spans="1:30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ht="37.2" spans="1:30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ht="37.2" spans="1:30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ht="37.2" spans="1:30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ht="37.2" spans="1:30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ht="37.2" spans="1:30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ht="37.2" spans="1:30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ht="37.2" spans="1:30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ht="37.2" spans="1:30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ht="37.2" spans="1: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ht="37.2" spans="1:30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ht="37.2" spans="1:30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ht="37.2" spans="1:30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ht="37.2" spans="1:30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ht="37.2" spans="1:30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ht="37.2" spans="1:30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ht="37.2" spans="1:30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ht="37.2" spans="1:30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ht="37.2" spans="1:30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ht="37.2" spans="1:3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ht="37.2" spans="1:30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ht="37.2" spans="1:30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ht="37.2" spans="1:30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ht="37.2" spans="1:30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ht="37.2" spans="1:30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ht="37.2" spans="1:30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ht="37.2" spans="1:30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ht="37.2" spans="1:30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ht="37.2" spans="1:30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ht="37.2" spans="1:3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ht="37.2" spans="1:30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ht="37.2" spans="1:30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ht="37.2" spans="1:30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ht="37.2" spans="1:30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ht="37.2" spans="1:30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ht="37.2" spans="1:30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ht="37.2" spans="1:30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ht="37.2" spans="1:30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ht="37.2" spans="1:30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ht="37.2" spans="1:3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ht="37.2" spans="1:30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ht="37.2" spans="1:30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ht="37.2" spans="1:30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ht="37.2" spans="1:30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ht="37.2" spans="1:30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ht="37.2" spans="1:30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ht="37.2" spans="1:30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ht="37.2" spans="1:30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ht="37.2" spans="1:30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ht="37.2" spans="1:3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ht="37.2" spans="1:30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ht="37.2" spans="1:30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ht="37.2" spans="1:30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ht="37.2" spans="1:30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ht="37.2" spans="1:30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ht="37.2" spans="1:30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ht="37.2" spans="1:30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ht="37.2" spans="1:30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ht="37.2" spans="1:30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ht="37.2" spans="1:3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ht="37.2" spans="1:30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ht="37.2" spans="1:30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ht="37.2" spans="1:30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ht="37.2" spans="1:30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ht="37.2" spans="1:30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ht="37.2" spans="1:30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ht="37.2" spans="1:30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ht="37.2" spans="1:30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ht="37.2" spans="1:30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ht="37.2" spans="1:3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ht="37.2" spans="1:30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ht="37.2" spans="1:30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ht="37.2" spans="1:30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ht="37.2" spans="1:30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ht="37.2" spans="1:30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ht="37.2" spans="1:30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ht="37.2" spans="1:30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ht="37.2" spans="1:30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ht="37.2" spans="1:30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ht="37.2" spans="1:3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ht="37.2" spans="1:30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ht="37.2" spans="1:30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ht="37.2" spans="1:30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ht="37.2" spans="1:30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ht="37.2" spans="1:30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ht="37.2" spans="1:30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ht="37.2" spans="1:30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ht="37.2" spans="1:30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ht="37.2" spans="1:30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ht="37.2" spans="1:3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ht="37.2" spans="1:30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ht="37.2" spans="1:30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ht="37.2" spans="1:30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ht="37.2" spans="1:30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ht="37.2" spans="1:30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ht="37.2" spans="1:30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ht="37.2" spans="1:30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ht="37.2" spans="1:30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ht="37.2" spans="1:30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ht="37.2" spans="1:3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ht="37.2" spans="1:30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ht="37.2" spans="1:30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ht="37.2" spans="1:30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ht="37.2" spans="1:30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ht="37.2" spans="1:30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ht="37.2" spans="1:30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ht="37.2" spans="1:30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ht="37.2" spans="1:30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ht="37.2" spans="1:30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ht="37.2" spans="1: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ht="37.2" spans="1:30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ht="37.2" spans="1:30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ht="37.2" spans="1:30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ht="37.2" spans="1:30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ht="37.2" spans="1:30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ht="37.2" spans="1:30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ht="37.2" spans="1:30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ht="37.2" spans="1:30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ht="37.2" spans="1:30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ht="37.2" spans="1:3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ht="37.2" spans="1:30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ht="37.2" spans="1:30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ht="37.2" spans="1:30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ht="37.2" spans="1:30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ht="37.2" spans="1:30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ht="37.2" spans="1:30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ht="37.2" spans="1:30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ht="37.2" spans="1:30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ht="37.2" spans="1:30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ht="37.2" spans="1:3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ht="37.2" spans="1:30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ht="37.2" spans="1:30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ht="37.2" spans="1:30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ht="37.2" spans="1:30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ht="37.2" spans="1:30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ht="37.2" spans="1:30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ht="37.2" spans="1:30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ht="37.2" spans="1:30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ht="37.2" spans="1:30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ht="37.2" spans="1:3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ht="37.2" spans="1:30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ht="37.2" spans="1:30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ht="37.2" spans="1:30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ht="37.2" spans="1:30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ht="37.2" spans="1:30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ht="37.2" spans="1:30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ht="37.2" spans="1:30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ht="37.2" spans="1:30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ht="37.2" spans="1:30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ht="37.2" spans="1:3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ht="37.2" spans="1:30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ht="37.2" spans="1:30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ht="37.2" spans="1:30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ht="37.2" spans="1:30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ht="37.2" spans="1:30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ht="37.2" spans="1:30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ht="37.2" spans="1:30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ht="37.2" spans="1:30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ht="37.2" spans="1:30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ht="37.2" spans="1:3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ht="37.2" spans="1:30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ht="37.2" spans="1:30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ht="37.2" spans="1:30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ht="37.2" spans="1:30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ht="37.2" spans="1:30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ht="37.2" spans="1:30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ht="37.2" spans="1:30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ht="37.2" spans="1:30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ht="37.2" spans="1:30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ht="37.2" spans="1:3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ht="37.2" spans="1:30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ht="37.2" spans="1:30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ht="37.2" spans="1:30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ht="37.2" spans="1:30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ht="37.2" spans="1:30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ht="37.2" spans="1:30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ht="37.2" spans="1:30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ht="37.2" spans="1:30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ht="37.2" spans="1:30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ht="37.2" spans="1:3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ht="37.2" spans="1:30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ht="37.2" spans="1:30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ht="37.2" spans="1:30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ht="37.2" spans="1:30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ht="37.2" spans="1:30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ht="37.2" spans="1:30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ht="37.2" spans="1:30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ht="37.2" spans="1:30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ht="37.2" spans="1:30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ht="37.2" spans="1:3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ht="37.2" spans="1:30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ht="37.2" spans="1:30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ht="37.2" spans="1:30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ht="37.2" spans="1:30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ht="37.2" spans="1:30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ht="37.2" spans="1:30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ht="37.2" spans="1:30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ht="37.2" spans="1:30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ht="37.2" spans="1:30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ht="37.2" spans="1:3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ht="37.2" spans="1:30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ht="37.2" spans="1:30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ht="37.2" spans="1:30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ht="37.2" spans="1:30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ht="37.2" spans="1:30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ht="37.2" spans="1:30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ht="37.2" spans="1:30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ht="37.2" spans="1:30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ht="37.2" spans="1:30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ht="37.2" spans="1: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ht="37.2" spans="1:30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ht="37.2" spans="1:30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ht="37.2" spans="1:30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ht="37.2" spans="1:30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ht="37.2" spans="1:30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ht="37.2" spans="1:30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ht="37.2" spans="1:30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ht="37.2" spans="1:30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ht="37.2" spans="1:30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ht="37.2" spans="1:3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ht="37.2" spans="1:30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ht="37.2" spans="1:30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ht="37.2" spans="1:30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ht="37.2" spans="1:30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ht="37.2" spans="1:30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ht="37.2" spans="1:30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ht="37.2" spans="1:30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ht="37.2" spans="1:30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ht="37.2" spans="1:30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ht="37.2" spans="1:3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ht="37.2" spans="1:30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ht="37.2" spans="1:30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ht="37.2" spans="1:30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ht="37.2" spans="1:30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ht="37.2" spans="1:30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ht="37.2" spans="1:30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ht="37.2" spans="1:30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ht="37.2" spans="1:30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ht="37.2" spans="1:30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ht="37.2" spans="1:3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ht="37.2" spans="1:30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ht="37.2" spans="1:30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ht="37.2" spans="1:30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ht="37.2" spans="1:30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ht="37.2" spans="1:30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ht="37.2" spans="1:30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ht="37.2" spans="1:30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ht="37.2" spans="1:30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ht="37.2" spans="1:30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ht="37.2" spans="1:3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ht="37.2" spans="1:30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ht="37.2" spans="1:30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ht="37.2" spans="1:30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ht="37.2" spans="1:30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ht="37.2" spans="1:30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ht="37.2" spans="1:30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ht="37.2" spans="1:30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ht="37.2" spans="1:30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ht="37.2" spans="1:30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ht="37.2" spans="1:3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ht="37.2" spans="1:30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ht="37.2" spans="1:30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ht="37.2" spans="1:30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ht="37.2" spans="1:30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ht="37.2" spans="1:30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ht="37.2" spans="1:30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ht="37.2" spans="1:30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ht="37.2" spans="1:30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ht="37.2" spans="1:30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ht="37.2" spans="1:3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ht="37.2" spans="1:30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ht="37.2" spans="1:30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ht="37.2" spans="1:30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ht="37.2" spans="1:30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ht="37.2" spans="1:30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ht="37.2" spans="1:30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ht="37.2" spans="1:30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ht="37.2" spans="1:30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ht="37.2" spans="1:30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ht="37.2" spans="1:3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ht="37.2" spans="1:30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ht="37.2" spans="1:30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ht="37.2" spans="1:30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ht="37.2" spans="1:30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ht="37.2" spans="1:30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ht="37.2" spans="1:30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ht="37.2" spans="1:30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ht="37.2" spans="1:30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ht="37.2" spans="1:30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ht="37.2" spans="1:3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ht="37.2" spans="1:30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ht="37.2" spans="1:30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ht="37.2" spans="1:30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ht="37.2" spans="1:30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ht="37.2" spans="1:30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ht="37.2" spans="1:30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ht="37.2" spans="1:30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ht="37.2" spans="1:30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ht="37.2" spans="1:30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ht="37.2" spans="1:3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ht="37.2" spans="1:30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ht="37.2" spans="1:30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ht="37.2" spans="1:30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ht="37.2" spans="1:30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ht="37.2" spans="1:30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ht="37.2" spans="1:30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ht="37.2" spans="1:30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ht="37.2" spans="1:30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ht="37.2" spans="1:30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ht="37.2" spans="1: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ht="37.2" spans="1:30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ht="37.2" spans="1:30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ht="37.2" spans="1:30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ht="37.2" spans="1:30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ht="37.2" spans="1:30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ht="37.2" spans="1:30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ht="37.2" spans="1:30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ht="37.2" spans="1:30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ht="37.2" spans="1:30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ht="37.2" spans="1:3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ht="37.2" spans="1:30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ht="37.2" spans="1:30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ht="37.2" spans="1:30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ht="37.2" spans="1:30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ht="37.2" spans="1:30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ht="37.2" spans="1:30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ht="37.2" spans="1:30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ht="37.2" spans="1:30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ht="37.2" spans="1:30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ht="37.2" spans="1:3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ht="37.2" spans="1:30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ht="37.2" spans="1:30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ht="37.2" spans="1:30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ht="37.2" spans="1:30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ht="37.2" spans="1:30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ht="37.2" spans="1:30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ht="37.2" spans="1:30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ht="37.2" spans="1:30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ht="37.2" spans="1:30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ht="37.2" spans="1:3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ht="37.2" spans="1:30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ht="37.2" spans="1:30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ht="37.2" spans="1:30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ht="37.2" spans="1:30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ht="37.2" spans="1:30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ht="37.2" spans="1:30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ht="37.2" spans="1:30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ht="37.2" spans="1:30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ht="37.2" spans="1:30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ht="37.2" spans="1:3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ht="37.2" spans="1:30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ht="37.2" spans="1:30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ht="37.2" spans="1:30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ht="37.2" spans="1:30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ht="37.2" spans="1:30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ht="37.2" spans="1:30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ht="37.2" spans="1:30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ht="37.2" spans="1:30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ht="37.2" spans="1:30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ht="37.2" spans="1:3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ht="37.2" spans="1:30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ht="37.2" spans="1:30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ht="37.2" spans="1:30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ht="37.2" spans="1:30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ht="37.2" spans="1:30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ht="37.2" spans="1:30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ht="37.2" spans="1:30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ht="37.2" spans="1:30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ht="37.2" spans="1:30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ht="37.2" spans="1:3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ht="37.2" spans="1:30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ht="37.2" spans="1:30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ht="37.2" spans="1:30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ht="37.2" spans="1:30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ht="37.2" spans="1:30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ht="37.2" spans="1:30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ht="37.2" spans="1:30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ht="37.2" spans="1:30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ht="37.2" spans="1:30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ht="37.2" spans="1:3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ht="37.2" spans="1:30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ht="37.2" spans="1:30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ht="37.2" spans="1:30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ht="37.2" spans="1:30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ht="37.2" spans="1:30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ht="37.2" spans="1:30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ht="37.2" spans="1:30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ht="37.2" spans="1:30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ht="37.2" spans="1:30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ht="37.2" spans="1:3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ht="37.2" spans="1:30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ht="37.2" spans="1:30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ht="37.2" spans="1:30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ht="37.2" spans="1:30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ht="37.2" spans="1:30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ht="37.2" spans="1:30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ht="37.2" spans="1:30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ht="37.2" spans="1:30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ht="37.2" spans="1:30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ht="37.2" spans="1:3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ht="37.2" spans="1:30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ht="37.2" spans="1:30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ht="37.2" spans="1:30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ht="37.2" spans="1:30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ht="37.2" spans="1:30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ht="37.2" spans="1:30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ht="37.2" spans="1:30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ht="37.2" spans="1:30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ht="37.2" spans="1:30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ht="37.2" spans="1: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ht="37.2" spans="1:30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ht="37.2" spans="1:30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ht="37.2" spans="1:30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ht="37.2" spans="1:30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ht="37.2" spans="1:30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ht="37.2" spans="1:30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ht="37.2" spans="1:30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ht="37.2" spans="1:30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ht="37.2" spans="1:30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ht="37.2" spans="1:3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ht="37.2" spans="1:30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ht="37.2" spans="1:30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ht="37.2" spans="1:30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ht="37.2" spans="1:30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ht="37.2" spans="1:30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ht="37.2" spans="1:30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ht="37.2" spans="1:30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ht="37.2" spans="1:30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ht="37.2" spans="1:30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ht="37.2" spans="1:3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ht="37.2" spans="1:30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ht="37.2" spans="1:30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ht="37.2" spans="1:30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ht="37.2" spans="1:30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ht="37.2" spans="1:30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ht="37.2" spans="1:30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ht="37.2" spans="1:30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ht="37.2" spans="1:30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ht="37.2" spans="1:30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ht="37.2" spans="1:3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ht="37.2" spans="1:30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ht="37.2" spans="1:30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ht="37.2" spans="1:30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ht="37.2" spans="1:30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ht="37.2" spans="1:30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ht="37.2" spans="1:30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ht="37.2" spans="1:30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ht="37.2" spans="1:30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ht="37.2" spans="1:30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ht="37.2" spans="1:3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ht="37.2" spans="1:30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ht="37.2" spans="1:30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ht="37.2" spans="1:30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ht="37.2" spans="1:30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ht="37.2" spans="1:30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ht="37.2" spans="1:30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ht="37.2" spans="1:30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ht="37.2" spans="1:30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ht="37.2" spans="1:30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ht="37.2" spans="1:3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ht="37.2" spans="1:30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ht="37.2" spans="1:30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ht="37.2" spans="1:30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ht="37.2" spans="1:30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ht="37.2" spans="1:30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ht="37.2" spans="1:30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ht="37.2" spans="1:30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ht="37.2" spans="1:30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ht="37.2" spans="1:30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ht="37.2" spans="1:3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ht="37.2" spans="1:30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ht="37.2" spans="1:30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ht="37.2" spans="1:30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ht="37.2" spans="1:30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ht="37.2" spans="1:30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ht="37.2" spans="1:30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ht="37.2" spans="1:30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ht="37.2" spans="1:30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ht="37.2" spans="1:30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ht="37.2" spans="1:3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ht="37.2" spans="1:30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ht="37.2" spans="1:30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ht="37.2" spans="1:30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ht="37.2" spans="1:30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ht="37.2" spans="1:30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ht="37.2" spans="1:30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ht="37.2" spans="1:30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ht="37.2" spans="1:30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ht="37.2" spans="1:30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ht="37.2" spans="1:3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ht="37.2" spans="1:30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ht="37.2" spans="1:30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ht="37.2" spans="1:30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ht="37.2" spans="1:30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ht="37.2" spans="1:30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ht="37.2" spans="1:30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ht="37.2" spans="1:30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ht="37.2" spans="1:30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ht="37.2" spans="1:30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ht="37.2" spans="1:3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ht="37.2" spans="1:30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ht="37.2" spans="1:30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ht="37.2" spans="1:30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ht="37.2" spans="1:30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ht="37.2" spans="1:30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ht="37.2" spans="1:30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ht="37.2" spans="1:30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ht="37.2" spans="1:30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ht="37.2" spans="1:30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ht="37.2" spans="1: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ht="37.2" spans="1:30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ht="37.2" spans="1:30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ht="37.2" spans="1:30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ht="37.2" spans="1:30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ht="37.2" spans="1:30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ht="37.2" spans="1:30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ht="37.2" spans="1:30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ht="37.2" spans="1:30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ht="37.2" spans="1:30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ht="37.2" spans="1:3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ht="37.2" spans="1:30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ht="37.2" spans="1:30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ht="37.2" spans="1:30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ht="37.2" spans="1:30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ht="37.2" spans="1:30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ht="37.2" spans="1:30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ht="37.2" spans="1:30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ht="37.2" spans="1:30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ht="37.2" spans="1:30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ht="37.2" spans="1:3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ht="37.2" spans="1:30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ht="37.2" spans="1:30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ht="37.2" spans="1:30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ht="37.2" spans="1:30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ht="37.2" spans="1:30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ht="37.2" spans="1:30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ht="37.2" spans="1:30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ht="37.2" spans="1:30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ht="37.2" spans="1:30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ht="37.2" spans="1:3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ht="37.2" spans="1:30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ht="37.2" spans="1:30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ht="37.2" spans="1:30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ht="37.2" spans="1:30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ht="37.2" spans="1:30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ht="37.2" spans="1:30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ht="37.2" spans="1:30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ht="37.2" spans="1:30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ht="37.2" spans="1:30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ht="37.2" spans="1:3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ht="37.2" spans="1:30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ht="37.2" spans="1:30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ht="37.2" spans="1:30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ht="37.2" spans="1:30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ht="37.2" spans="1:30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ht="37.2" spans="1:30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ht="37.2" spans="1:30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ht="37.2" spans="1:30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ht="37.2" spans="1:30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ht="37.2" spans="1:3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ht="37.2" spans="1:30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ht="37.2" spans="1:30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ht="37.2" spans="1:30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ht="37.2" spans="1:30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ht="37.2" spans="1:30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ht="37.2" spans="1:30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ht="37.2" spans="1:30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ht="37.2" spans="1:30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ht="37.2" spans="1:30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ht="37.2" spans="1:3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ht="37.2" spans="1:30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ht="37.2" spans="1:30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ht="37.2" spans="1:30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ht="37.2" spans="1:30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ht="37.2" spans="1:30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ht="37.2" spans="1:30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ht="37.2" spans="1:30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ht="37.2" spans="1:30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ht="37.2" spans="1:30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ht="37.2" spans="1:3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ht="37.2" spans="1:30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ht="37.2" spans="1:30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ht="37.2" spans="1:30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ht="37.2" spans="1:30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ht="37.2" spans="1:30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ht="37.2" spans="1:30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ht="37.2" spans="1:30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ht="37.2" spans="1:30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ht="37.2" spans="1:30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ht="37.2" spans="1:3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ht="37.2" spans="1:30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ht="37.2" spans="1:30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ht="37.2" spans="1:30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ht="37.2" spans="1:30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ht="37.2" spans="1:30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ht="37.2" spans="1:30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ht="37.2" spans="1:30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ht="37.2" spans="1:30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ht="37.2" spans="1:30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ht="37.2" spans="1:3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ht="37.2" spans="1:30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ht="37.2" spans="1:30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ht="37.2" spans="1:30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ht="37.2" spans="1:30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ht="37.2" spans="1:30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ht="37.2" spans="1:30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ht="37.2" spans="1:30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ht="37.2" spans="1:30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ht="37.2" spans="1:30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ht="37.2" spans="1: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ht="37.2" spans="1:30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ht="37.2" spans="1:30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ht="37.2" spans="1:30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ht="37.2" spans="1:30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ht="37.2" spans="1:30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ht="37.2" spans="1:30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ht="37.2" spans="1:30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ht="37.2" spans="1:30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ht="37.2" spans="1:30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ht="37.2" spans="1:3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ht="37.2" spans="1:30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ht="37.2" spans="1:30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ht="37.2" spans="1:30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ht="37.2" spans="1:30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ht="37.2" spans="1:30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ht="37.2" spans="1:30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ht="37.2" spans="1:30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ht="37.2" spans="1:30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ht="37.2" spans="1:30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ht="37.2" spans="1:3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ht="37.2" spans="1:30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ht="37.2" spans="1:30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ht="37.2" spans="1:30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ht="37.2" spans="1:30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ht="37.2" spans="1:30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ht="37.2" spans="1:30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ht="37.2" spans="1:30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ht="37.2" spans="1:30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ht="37.2" spans="1:30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ht="37.2" spans="1:3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ht="37.2" spans="1:30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ht="37.2" spans="1:30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ht="37.2" spans="1:30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ht="37.2" spans="1:30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ht="37.2" spans="1:30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ht="37.2" spans="1:30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ht="37.2" spans="1:30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ht="37.2" spans="1:30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ht="37.2" spans="1:30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ht="37.2" spans="1:3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ht="37.2" spans="1:30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ht="37.2" spans="1:30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ht="37.2" spans="1:30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ht="37.2" spans="1:30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ht="37.2" spans="1:30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ht="37.2" spans="1:30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ht="37.2" spans="1:30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ht="37.2" spans="1:30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ht="37.2" spans="1:30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ht="37.2" spans="1:3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ht="37.2" spans="1:30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ht="37.2" spans="1:30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ht="37.2" spans="1:30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ht="37.2" spans="1:30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ht="37.2" spans="1:30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ht="37.2" spans="1:30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ht="37.2" spans="1:30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ht="37.2" spans="1:30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ht="37.2" spans="1:30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ht="37.2" spans="1:3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ht="37.2" spans="1:30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ht="37.2" spans="1:30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ht="37.2" spans="1:30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ht="37.2" spans="1:30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ht="37.2" spans="1:30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ht="37.2" spans="1:30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ht="37.2" spans="1:30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ht="37.2" spans="1:30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ht="37.2" spans="1:30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ht="37.2" spans="1:3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 ht="37.2" spans="1:30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  <row r="1002" ht="37.2" spans="1:30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</row>
    <row r="1003" ht="37.2" spans="1:30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</row>
    <row r="1004" ht="37.2" spans="1:30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</row>
    <row r="1005" ht="37.2" spans="1:30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</row>
    <row r="1006" ht="37.2" spans="1:30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</row>
    <row r="1007" ht="37.2" spans="1:30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</row>
    <row r="1008" ht="37.2" spans="1:30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</row>
    <row r="1009" ht="37.2" spans="1:30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82"/>
  <sheetViews>
    <sheetView workbookViewId="0">
      <selection activeCell="A1" sqref="A1"/>
    </sheetView>
  </sheetViews>
  <sheetFormatPr defaultColWidth="12.6296296296296" defaultRowHeight="15.75" customHeight="1"/>
  <sheetData>
    <row r="1" customHeight="1" spans="1:2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Height="1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Height="1" spans="1:2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Height="1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Height="1" spans="1:26">
      <c r="A5" s="5"/>
      <c r="B5" s="6" t="s">
        <v>103</v>
      </c>
      <c r="C5" s="5"/>
      <c r="D5" s="5"/>
      <c r="E5" s="5"/>
      <c r="F5" s="5"/>
      <c r="G5" s="5"/>
      <c r="H5" s="5"/>
      <c r="I5" s="5"/>
      <c r="J5" s="5"/>
      <c r="K5" s="5"/>
      <c r="L5" s="5"/>
      <c r="M5" s="6" t="s">
        <v>434</v>
      </c>
      <c r="N5" s="5"/>
      <c r="O5" s="5"/>
      <c r="P5" s="5"/>
      <c r="Q5" s="5"/>
      <c r="R5" s="6" t="s">
        <v>434</v>
      </c>
      <c r="S5" s="5"/>
      <c r="T5" s="5"/>
      <c r="U5" s="5"/>
      <c r="V5" s="5"/>
      <c r="W5" s="5"/>
      <c r="X5" s="5"/>
      <c r="Y5" s="5"/>
      <c r="Z5" s="5"/>
    </row>
    <row r="6" customHeight="1" spans="1:26">
      <c r="A6" s="5"/>
      <c r="B6" s="7" t="s">
        <v>334</v>
      </c>
      <c r="C6" s="5"/>
      <c r="D6" s="5"/>
      <c r="E6" s="1" t="s">
        <v>197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7" t="s">
        <v>607</v>
      </c>
      <c r="S6" s="5"/>
      <c r="T6" s="5"/>
      <c r="U6" s="5"/>
      <c r="V6" s="1" t="s">
        <v>197</v>
      </c>
      <c r="W6" s="5"/>
      <c r="X6" s="5"/>
      <c r="Y6" s="5"/>
      <c r="Z6" s="5"/>
    </row>
    <row r="7" customHeight="1" spans="1:26">
      <c r="A7" s="5"/>
      <c r="B7" s="1" t="s">
        <v>99</v>
      </c>
      <c r="C7" s="5"/>
      <c r="D7" s="5"/>
      <c r="E7" s="5"/>
      <c r="F7" s="5"/>
      <c r="G7" s="5"/>
      <c r="H7" s="5"/>
      <c r="I7" s="5"/>
      <c r="J7" s="5"/>
      <c r="K7" s="5"/>
      <c r="L7" s="5"/>
      <c r="M7" s="1" t="s">
        <v>527</v>
      </c>
      <c r="N7" s="5"/>
      <c r="O7" s="5"/>
      <c r="P7" s="5"/>
      <c r="Q7" s="5"/>
      <c r="R7" s="1" t="s">
        <v>527</v>
      </c>
      <c r="S7" s="5"/>
      <c r="T7" s="5"/>
      <c r="U7" s="5"/>
      <c r="V7" s="5"/>
      <c r="W7" s="5"/>
      <c r="X7" s="5"/>
      <c r="Y7" s="5"/>
      <c r="Z7" s="5"/>
    </row>
    <row r="8" customHeight="1" spans="1:26">
      <c r="A8" s="5"/>
      <c r="B8" s="7" t="s">
        <v>150</v>
      </c>
      <c r="C8" s="5"/>
      <c r="D8" s="5"/>
      <c r="E8" s="1" t="s">
        <v>202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7" t="s">
        <v>528</v>
      </c>
      <c r="S8" s="5"/>
      <c r="T8" s="5"/>
      <c r="U8" s="5"/>
      <c r="V8" s="1" t="s">
        <v>202</v>
      </c>
      <c r="W8" s="5"/>
      <c r="X8" s="5"/>
      <c r="Y8" s="5"/>
      <c r="Z8" s="5"/>
    </row>
    <row r="9" customHeight="1" spans="1:26">
      <c r="A9" s="5"/>
      <c r="B9" s="1" t="s">
        <v>100</v>
      </c>
      <c r="C9" s="5"/>
      <c r="D9" s="5"/>
      <c r="E9" s="5"/>
      <c r="F9" s="5"/>
      <c r="G9" s="5"/>
      <c r="H9" s="5"/>
      <c r="I9" s="5"/>
      <c r="J9" s="5"/>
      <c r="K9" s="5"/>
      <c r="L9" s="5"/>
      <c r="M9" s="1" t="s">
        <v>100</v>
      </c>
      <c r="N9" s="5"/>
      <c r="O9" s="5"/>
      <c r="P9" s="5"/>
      <c r="Q9" s="5"/>
      <c r="R9" s="1" t="s">
        <v>100</v>
      </c>
      <c r="S9" s="5"/>
      <c r="T9" s="5"/>
      <c r="U9" s="5"/>
      <c r="V9" s="5"/>
      <c r="W9" s="5"/>
      <c r="X9" s="5"/>
      <c r="Y9" s="5"/>
      <c r="Z9" s="5"/>
    </row>
    <row r="10" customHeight="1" spans="1:26">
      <c r="A10" s="5"/>
      <c r="B10" s="7" t="s">
        <v>157</v>
      </c>
      <c r="C10" s="5"/>
      <c r="D10" s="5"/>
      <c r="E10" s="1" t="s">
        <v>202</v>
      </c>
      <c r="F10" s="5"/>
      <c r="G10" s="5"/>
      <c r="H10" s="5"/>
      <c r="I10" s="5"/>
      <c r="J10" s="5"/>
      <c r="K10" s="5"/>
      <c r="L10" s="5"/>
      <c r="M10" s="7" t="s">
        <v>608</v>
      </c>
      <c r="N10" s="5"/>
      <c r="O10" s="5"/>
      <c r="P10" s="5"/>
      <c r="Q10" s="5"/>
      <c r="R10" s="7" t="s">
        <v>529</v>
      </c>
      <c r="S10" s="5"/>
      <c r="T10" s="5"/>
      <c r="U10" s="5"/>
      <c r="V10" s="1" t="s">
        <v>202</v>
      </c>
      <c r="W10" s="5"/>
      <c r="X10" s="5"/>
      <c r="Y10" s="5"/>
      <c r="Z10" s="5"/>
    </row>
    <row r="11" customHeight="1" spans="1:26">
      <c r="A11" s="5"/>
      <c r="B11" s="1" t="s">
        <v>609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1" t="s">
        <v>610</v>
      </c>
      <c r="N11" s="5"/>
      <c r="O11" s="5"/>
      <c r="P11" s="5"/>
      <c r="Q11" s="5"/>
      <c r="R11" s="1" t="s">
        <v>610</v>
      </c>
      <c r="S11" s="5"/>
      <c r="T11" s="5"/>
      <c r="U11" s="5"/>
      <c r="V11" s="5"/>
      <c r="W11" s="5"/>
      <c r="X11" s="5"/>
      <c r="Y11" s="5"/>
      <c r="Z11" s="5"/>
    </row>
    <row r="12" customHeight="1" spans="1:26">
      <c r="A12" s="5"/>
      <c r="B12" s="7" t="s">
        <v>508</v>
      </c>
      <c r="C12" s="5"/>
      <c r="D12" s="5"/>
      <c r="E12" s="5"/>
      <c r="F12" s="1" t="s">
        <v>210</v>
      </c>
      <c r="G12" s="5"/>
      <c r="H12" s="5"/>
      <c r="I12" s="5"/>
      <c r="J12" s="5"/>
      <c r="K12" s="5"/>
      <c r="L12" s="5"/>
      <c r="M12" s="5"/>
      <c r="N12" s="7" t="s">
        <v>611</v>
      </c>
      <c r="O12" s="5"/>
      <c r="P12" s="5"/>
      <c r="Q12" s="5"/>
      <c r="R12" s="5"/>
      <c r="S12" s="7" t="s">
        <v>612</v>
      </c>
      <c r="T12" s="5"/>
      <c r="U12" s="5"/>
      <c r="V12" s="1" t="s">
        <v>532</v>
      </c>
      <c r="W12" s="5"/>
      <c r="X12" s="5"/>
      <c r="Y12" s="5"/>
      <c r="Z12" s="5"/>
    </row>
    <row r="13" customHeight="1" spans="1:26">
      <c r="A13" s="5"/>
      <c r="B13" s="7" t="s">
        <v>340</v>
      </c>
      <c r="C13" s="5"/>
      <c r="D13" s="5"/>
      <c r="E13" s="5"/>
      <c r="F13" s="1" t="s">
        <v>197</v>
      </c>
      <c r="G13" s="5"/>
      <c r="H13" s="5"/>
      <c r="I13" s="5"/>
      <c r="J13" s="5"/>
      <c r="K13" s="5"/>
      <c r="L13" s="5"/>
      <c r="M13" s="5"/>
      <c r="N13" s="1" t="s">
        <v>533</v>
      </c>
      <c r="O13" s="5"/>
      <c r="P13" s="5"/>
      <c r="Q13" s="5"/>
      <c r="R13" s="5"/>
      <c r="S13" s="7" t="s">
        <v>536</v>
      </c>
      <c r="T13" s="5"/>
      <c r="U13" s="5"/>
      <c r="V13" s="1" t="s">
        <v>197</v>
      </c>
      <c r="W13" s="5"/>
      <c r="X13" s="5"/>
      <c r="Y13" s="5"/>
      <c r="Z13" s="5"/>
    </row>
    <row r="14" customHeight="1" spans="1:26">
      <c r="A14" s="5"/>
      <c r="B14" s="1" t="s">
        <v>613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1" t="s">
        <v>535</v>
      </c>
      <c r="O14" s="5"/>
      <c r="P14" s="5"/>
      <c r="Q14" s="5"/>
      <c r="R14" s="5"/>
      <c r="S14" s="1" t="s">
        <v>533</v>
      </c>
      <c r="T14" s="5"/>
      <c r="U14" s="5"/>
      <c r="V14" s="5"/>
      <c r="W14" s="5"/>
      <c r="X14" s="5"/>
      <c r="Y14" s="5"/>
      <c r="Z14" s="5"/>
    </row>
    <row r="15" customHeight="1" spans="1:26">
      <c r="A15" s="5"/>
      <c r="B15" s="7" t="s">
        <v>342</v>
      </c>
      <c r="C15" s="5"/>
      <c r="D15" s="5"/>
      <c r="E15" s="5"/>
      <c r="F15" s="1" t="s">
        <v>202</v>
      </c>
      <c r="G15" s="5"/>
      <c r="H15" s="5"/>
      <c r="I15" s="5"/>
      <c r="J15" s="5"/>
      <c r="K15" s="5"/>
      <c r="L15" s="5"/>
      <c r="M15" s="5"/>
      <c r="N15" s="7" t="s">
        <v>608</v>
      </c>
      <c r="O15" s="5"/>
      <c r="P15" s="5"/>
      <c r="Q15" s="5"/>
      <c r="R15" s="5"/>
      <c r="S15" s="7" t="s">
        <v>614</v>
      </c>
      <c r="T15" s="5"/>
      <c r="U15" s="5"/>
      <c r="V15" s="1" t="s">
        <v>202</v>
      </c>
      <c r="W15" s="5"/>
      <c r="X15" s="5"/>
      <c r="Y15" s="5"/>
      <c r="Z15" s="5"/>
    </row>
    <row r="16" customHeight="1" spans="1:26">
      <c r="A16" s="5"/>
      <c r="B16" s="1" t="s">
        <v>615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1" t="s">
        <v>173</v>
      </c>
      <c r="N16" s="5"/>
      <c r="O16" s="5"/>
      <c r="P16" s="5"/>
      <c r="Q16" s="5"/>
      <c r="R16" s="5"/>
      <c r="S16" s="1" t="s">
        <v>535</v>
      </c>
      <c r="T16" s="5"/>
      <c r="U16" s="5"/>
      <c r="V16" s="5"/>
      <c r="W16" s="5"/>
      <c r="X16" s="5"/>
      <c r="Y16" s="5"/>
      <c r="Z16" s="5"/>
    </row>
    <row r="17" customHeight="1" spans="1:26">
      <c r="A17" s="5"/>
      <c r="B17" s="7" t="s">
        <v>157</v>
      </c>
      <c r="C17" s="5"/>
      <c r="D17" s="5"/>
      <c r="E17" s="5"/>
      <c r="F17" s="1" t="s">
        <v>202</v>
      </c>
      <c r="G17" s="5"/>
      <c r="H17" s="5"/>
      <c r="I17" s="5"/>
      <c r="J17" s="5"/>
      <c r="K17" s="5"/>
      <c r="L17" s="5"/>
      <c r="M17" s="7" t="s">
        <v>365</v>
      </c>
      <c r="N17" s="5"/>
      <c r="O17" s="5"/>
      <c r="P17" s="5"/>
      <c r="Q17" s="5"/>
      <c r="R17" s="5"/>
      <c r="S17" s="7" t="s">
        <v>529</v>
      </c>
      <c r="T17" s="5"/>
      <c r="U17" s="5"/>
      <c r="V17" s="1" t="s">
        <v>202</v>
      </c>
      <c r="W17" s="5"/>
      <c r="X17" s="5"/>
      <c r="Y17" s="5"/>
      <c r="Z17" s="5"/>
    </row>
    <row r="18" customHeight="1" spans="1:26">
      <c r="A18" s="5"/>
      <c r="B18" s="1"/>
      <c r="C18" s="5"/>
      <c r="D18" s="5"/>
      <c r="E18" s="5"/>
      <c r="F18" s="5"/>
      <c r="G18" s="5"/>
      <c r="H18" s="5"/>
      <c r="I18" s="5"/>
      <c r="J18" s="5"/>
      <c r="K18" s="5"/>
      <c r="L18" s="5"/>
      <c r="M18" s="6" t="s">
        <v>368</v>
      </c>
      <c r="N18" s="5"/>
      <c r="O18" s="5"/>
      <c r="P18" s="5"/>
      <c r="Q18" s="5"/>
      <c r="R18" s="1" t="s">
        <v>173</v>
      </c>
      <c r="S18" s="5"/>
      <c r="T18" s="5"/>
      <c r="U18" s="5"/>
      <c r="V18" s="5"/>
      <c r="W18" s="5"/>
      <c r="X18" s="5"/>
      <c r="Y18" s="5"/>
      <c r="Z18" s="5"/>
    </row>
    <row r="19" customHeight="1" spans="1:26">
      <c r="A19" s="5"/>
      <c r="B19" s="7"/>
      <c r="C19" s="5"/>
      <c r="D19" s="5"/>
      <c r="E19" s="5"/>
      <c r="F19" s="1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7" t="s">
        <v>616</v>
      </c>
      <c r="S19" s="5"/>
      <c r="T19" s="5"/>
      <c r="U19" s="5"/>
      <c r="V19" s="1" t="s">
        <v>278</v>
      </c>
      <c r="W19" s="5"/>
      <c r="X19" s="5"/>
      <c r="Y19" s="5"/>
      <c r="Z19" s="5"/>
    </row>
    <row r="20" customHeight="1" spans="1:26">
      <c r="A20" s="5"/>
      <c r="B20" s="1" t="s">
        <v>173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6" t="s">
        <v>368</v>
      </c>
      <c r="S20" s="5"/>
      <c r="T20" s="5"/>
      <c r="U20" s="5"/>
      <c r="V20" s="1" t="s">
        <v>197</v>
      </c>
      <c r="W20" s="5"/>
      <c r="X20" s="5"/>
      <c r="Y20" s="5"/>
      <c r="Z20" s="5"/>
    </row>
    <row r="21" customHeight="1" spans="1:26">
      <c r="A21" s="5"/>
      <c r="B21" s="7" t="s">
        <v>617</v>
      </c>
      <c r="C21" s="5"/>
      <c r="D21" s="5"/>
      <c r="E21" s="5"/>
      <c r="F21" s="1" t="s">
        <v>278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Height="1" spans="1:26">
      <c r="A22" s="5"/>
      <c r="B22" s="6" t="s">
        <v>104</v>
      </c>
      <c r="C22" s="5"/>
      <c r="D22" s="5"/>
      <c r="E22" s="5"/>
      <c r="F22" s="1" t="s">
        <v>197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Height="1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Height="1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Height="1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Height="1" spans="1:26">
      <c r="A26" s="5"/>
      <c r="B26" s="5"/>
      <c r="C26" s="5"/>
      <c r="D26" s="5"/>
      <c r="E26" s="5"/>
      <c r="F26" s="5"/>
      <c r="G26" s="5"/>
      <c r="H26" s="6" t="s">
        <v>103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Height="1" spans="1:26">
      <c r="A27" s="5"/>
      <c r="B27" s="6" t="s">
        <v>103</v>
      </c>
      <c r="C27" s="5"/>
      <c r="D27" s="5"/>
      <c r="E27" s="5"/>
      <c r="F27" s="5"/>
      <c r="G27" s="5"/>
      <c r="H27" s="7" t="s">
        <v>618</v>
      </c>
      <c r="I27" s="5"/>
      <c r="J27" s="5"/>
      <c r="K27" s="5"/>
      <c r="L27" s="5"/>
      <c r="M27" s="1" t="s">
        <v>197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Height="1" spans="1:26">
      <c r="A28" s="5"/>
      <c r="B28" s="5"/>
      <c r="C28" s="5"/>
      <c r="D28" s="5"/>
      <c r="E28" s="5"/>
      <c r="F28" s="5"/>
      <c r="G28" s="5"/>
      <c r="H28" s="1" t="s">
        <v>200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Height="1" spans="1:26">
      <c r="A29" s="5"/>
      <c r="B29" s="1" t="s">
        <v>200</v>
      </c>
      <c r="C29" s="5"/>
      <c r="D29" s="5"/>
      <c r="E29" s="5"/>
      <c r="F29" s="5"/>
      <c r="G29" s="5"/>
      <c r="H29" s="7" t="s">
        <v>619</v>
      </c>
      <c r="I29" s="5"/>
      <c r="J29" s="5"/>
      <c r="K29" s="5"/>
      <c r="L29" s="1"/>
      <c r="M29" s="1" t="s">
        <v>202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Height="1" spans="1:26">
      <c r="A30" s="5"/>
      <c r="B30" s="1" t="s">
        <v>204</v>
      </c>
      <c r="C30" s="5"/>
      <c r="D30" s="5"/>
      <c r="E30" s="5"/>
      <c r="F30" s="5"/>
      <c r="G30" s="5"/>
      <c r="H30" s="1" t="s">
        <v>204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Height="1" spans="1:26">
      <c r="A31" s="5"/>
      <c r="B31" s="1" t="s">
        <v>208</v>
      </c>
      <c r="C31" s="5"/>
      <c r="D31" s="5"/>
      <c r="E31" s="5"/>
      <c r="F31" s="5"/>
      <c r="G31" s="5"/>
      <c r="H31" s="7" t="s">
        <v>620</v>
      </c>
      <c r="I31" s="5"/>
      <c r="J31" s="5"/>
      <c r="K31" s="5"/>
      <c r="L31" s="1"/>
      <c r="M31" s="1" t="s">
        <v>202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Height="1" spans="1:26">
      <c r="A32" s="5"/>
      <c r="B32" s="7" t="s">
        <v>608</v>
      </c>
      <c r="C32" s="5"/>
      <c r="D32" s="5"/>
      <c r="E32" s="5"/>
      <c r="F32" s="5"/>
      <c r="G32" s="5"/>
      <c r="H32" s="1" t="s">
        <v>208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Height="1" spans="1:26">
      <c r="A33" s="5"/>
      <c r="B33" s="1" t="s">
        <v>621</v>
      </c>
      <c r="C33" s="5"/>
      <c r="D33" s="1" t="s">
        <v>162</v>
      </c>
      <c r="E33" s="5"/>
      <c r="F33" s="5"/>
      <c r="G33" s="5"/>
      <c r="H33" s="7" t="s">
        <v>622</v>
      </c>
      <c r="I33" s="5"/>
      <c r="J33" s="5"/>
      <c r="K33" s="5"/>
      <c r="L33" s="5"/>
      <c r="M33" s="1" t="s">
        <v>202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Height="1" spans="1:26">
      <c r="A34" s="5"/>
      <c r="B34" s="5"/>
      <c r="C34" s="7" t="s">
        <v>623</v>
      </c>
      <c r="D34" s="5"/>
      <c r="E34" s="5"/>
      <c r="F34" s="5"/>
      <c r="G34" s="5"/>
      <c r="H34" s="1" t="s">
        <v>621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Height="1" spans="1:26">
      <c r="A35" s="5"/>
      <c r="B35" s="5"/>
      <c r="C35" s="1" t="s">
        <v>219</v>
      </c>
      <c r="D35" s="5"/>
      <c r="E35" s="5"/>
      <c r="F35" s="5"/>
      <c r="G35" s="5"/>
      <c r="H35" s="5"/>
      <c r="I35" s="7" t="s">
        <v>624</v>
      </c>
      <c r="J35" s="5"/>
      <c r="K35" s="5"/>
      <c r="L35" s="5"/>
      <c r="M35" s="5"/>
      <c r="N35" s="5"/>
      <c r="O35" s="5"/>
      <c r="P35" s="5"/>
      <c r="Q35" s="1"/>
      <c r="R35" s="1"/>
      <c r="S35" s="5"/>
      <c r="T35" s="5"/>
      <c r="U35" s="5"/>
      <c r="V35" s="5"/>
      <c r="W35" s="5"/>
      <c r="X35" s="5"/>
      <c r="Y35" s="5"/>
      <c r="Z35" s="5"/>
    </row>
    <row r="36" customHeight="1" spans="1:26">
      <c r="A36" s="5"/>
      <c r="B36" s="5"/>
      <c r="C36" s="1" t="s">
        <v>222</v>
      </c>
      <c r="D36" s="5"/>
      <c r="E36" s="5"/>
      <c r="F36" s="5"/>
      <c r="G36" s="5"/>
      <c r="H36" s="5"/>
      <c r="I36" s="7" t="s">
        <v>625</v>
      </c>
      <c r="J36" s="5"/>
      <c r="K36" s="5"/>
      <c r="L36" s="5"/>
      <c r="M36" s="5"/>
      <c r="N36" s="5"/>
      <c r="O36" s="5"/>
      <c r="P36" s="5"/>
      <c r="Q36" s="1" t="s">
        <v>197</v>
      </c>
      <c r="R36" s="5"/>
      <c r="S36" s="5"/>
      <c r="T36" s="5"/>
      <c r="U36" s="5"/>
      <c r="V36" s="5"/>
      <c r="W36" s="5"/>
      <c r="X36" s="5"/>
      <c r="Y36" s="5"/>
      <c r="Z36" s="5"/>
    </row>
    <row r="37" customHeight="1" spans="1:26">
      <c r="A37" s="5"/>
      <c r="B37" s="5"/>
      <c r="C37" s="1" t="s">
        <v>227</v>
      </c>
      <c r="D37" s="5"/>
      <c r="E37" s="5"/>
      <c r="F37" s="5"/>
      <c r="G37" s="5"/>
      <c r="H37" s="5"/>
      <c r="I37" s="1" t="s">
        <v>219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Height="1" spans="1:26">
      <c r="A38" s="5"/>
      <c r="B38" s="5"/>
      <c r="C38" s="7" t="s">
        <v>608</v>
      </c>
      <c r="D38" s="5"/>
      <c r="E38" s="5"/>
      <c r="F38" s="5"/>
      <c r="G38" s="5"/>
      <c r="H38" s="5"/>
      <c r="I38" s="7" t="s">
        <v>626</v>
      </c>
      <c r="J38" s="5"/>
      <c r="K38" s="5"/>
      <c r="L38" s="5"/>
      <c r="M38" s="5"/>
      <c r="N38" s="5"/>
      <c r="O38" s="5"/>
      <c r="P38" s="5"/>
      <c r="Q38" s="5"/>
      <c r="R38" s="1" t="s">
        <v>91</v>
      </c>
      <c r="S38" s="63" t="s">
        <v>627</v>
      </c>
      <c r="T38" s="63" t="s">
        <v>628</v>
      </c>
      <c r="U38" s="19">
        <v>-2</v>
      </c>
      <c r="V38" s="19">
        <v>-1</v>
      </c>
      <c r="W38" s="63" t="s">
        <v>629</v>
      </c>
      <c r="X38" s="63" t="s">
        <v>630</v>
      </c>
      <c r="Y38" s="63" t="s">
        <v>631</v>
      </c>
      <c r="Z38" s="5"/>
    </row>
    <row r="39" customHeight="1" spans="1:26">
      <c r="A39" s="5"/>
      <c r="B39" s="1" t="s">
        <v>173</v>
      </c>
      <c r="C39" s="5"/>
      <c r="D39" s="5"/>
      <c r="E39" s="5"/>
      <c r="F39" s="5"/>
      <c r="G39" s="5"/>
      <c r="H39" s="5"/>
      <c r="I39" s="1" t="s">
        <v>222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1"/>
      <c r="U39" s="5"/>
      <c r="V39" s="5"/>
      <c r="W39" s="5"/>
      <c r="X39" s="5"/>
      <c r="Y39" s="5"/>
      <c r="Z39" s="5"/>
    </row>
    <row r="40" customHeight="1" spans="1:26">
      <c r="A40" s="5"/>
      <c r="B40" s="7" t="s">
        <v>632</v>
      </c>
      <c r="C40" s="5"/>
      <c r="D40" s="5"/>
      <c r="E40" s="5"/>
      <c r="F40" s="5"/>
      <c r="G40" s="5"/>
      <c r="H40" s="5"/>
      <c r="I40" s="7" t="s">
        <v>633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Height="1" spans="1:26">
      <c r="A41" s="5"/>
      <c r="B41" s="6" t="s">
        <v>229</v>
      </c>
      <c r="C41" s="5"/>
      <c r="D41" s="5"/>
      <c r="E41" s="5"/>
      <c r="F41" s="5"/>
      <c r="G41" s="5"/>
      <c r="H41" s="5"/>
      <c r="I41" s="1" t="s">
        <v>227</v>
      </c>
      <c r="J41" s="5"/>
      <c r="K41" s="5"/>
      <c r="L41" s="5"/>
      <c r="M41" s="5"/>
      <c r="N41" s="5"/>
      <c r="O41" s="5"/>
      <c r="P41" s="5"/>
      <c r="Q41" s="5"/>
      <c r="R41" s="1" t="s">
        <v>230</v>
      </c>
      <c r="S41" s="63" t="s">
        <v>627</v>
      </c>
      <c r="T41" s="62" t="s">
        <v>628</v>
      </c>
      <c r="U41" s="1">
        <v>-2</v>
      </c>
      <c r="V41" s="1">
        <v>-3</v>
      </c>
      <c r="W41" s="1">
        <v>-2</v>
      </c>
      <c r="X41" s="63" t="s">
        <v>631</v>
      </c>
      <c r="Y41" s="63" t="s">
        <v>631</v>
      </c>
      <c r="Z41" s="5"/>
    </row>
    <row r="42" customHeight="1" spans="1:26">
      <c r="A42" s="5"/>
      <c r="B42" s="5"/>
      <c r="C42" s="5"/>
      <c r="D42" s="5"/>
      <c r="E42" s="5"/>
      <c r="F42" s="5"/>
      <c r="G42" s="5"/>
      <c r="H42" s="5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Height="1" spans="1:26">
      <c r="A43" s="5"/>
      <c r="B43" s="5"/>
      <c r="C43" s="5"/>
      <c r="D43" s="5"/>
      <c r="E43" s="5"/>
      <c r="F43" s="5"/>
      <c r="G43" s="5"/>
      <c r="H43" s="5"/>
      <c r="I43" s="7" t="s">
        <v>634</v>
      </c>
      <c r="J43" s="5"/>
      <c r="K43" s="5"/>
      <c r="L43" s="5"/>
      <c r="M43" s="5"/>
      <c r="N43" s="5"/>
      <c r="O43" s="5"/>
      <c r="P43" s="5"/>
      <c r="Q43" s="5"/>
      <c r="R43" s="1" t="s">
        <v>231</v>
      </c>
      <c r="S43" s="1">
        <v>5</v>
      </c>
      <c r="T43" s="1">
        <v>3</v>
      </c>
      <c r="U43" s="1">
        <v>-2</v>
      </c>
      <c r="V43" s="1">
        <v>-3</v>
      </c>
      <c r="W43" s="1">
        <v>-3</v>
      </c>
      <c r="X43" s="1">
        <v>-3</v>
      </c>
      <c r="Y43" s="1">
        <v>-3</v>
      </c>
      <c r="Z43" s="5"/>
    </row>
    <row r="44" customHeight="1" spans="1:26">
      <c r="A44" s="5"/>
      <c r="B44" s="5"/>
      <c r="C44" s="5"/>
      <c r="D44" s="5"/>
      <c r="E44" s="5"/>
      <c r="F44" s="5"/>
      <c r="G44" s="5"/>
      <c r="H44" s="1" t="s">
        <v>173</v>
      </c>
      <c r="I44" s="5"/>
      <c r="J44" s="5"/>
      <c r="K44" s="1" t="s">
        <v>278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Height="1" spans="1:26">
      <c r="A45" s="5"/>
      <c r="B45" s="5"/>
      <c r="C45" s="5"/>
      <c r="D45" s="5"/>
      <c r="E45" s="5"/>
      <c r="F45" s="5"/>
      <c r="G45" s="5"/>
      <c r="H45" s="7" t="s">
        <v>228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Height="1" spans="1:26">
      <c r="A46" s="5"/>
      <c r="B46" s="5"/>
      <c r="C46" s="5"/>
      <c r="D46" s="5"/>
      <c r="E46" s="5"/>
      <c r="F46" s="5"/>
      <c r="G46" s="5"/>
      <c r="H46" s="6" t="s">
        <v>229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Height="1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Height="1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Height="1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Height="1" spans="1:26">
      <c r="A50" s="5"/>
      <c r="B50" s="6" t="s">
        <v>635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Height="1" spans="1:26">
      <c r="A51" s="5"/>
      <c r="B51" s="7" t="s">
        <v>636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Height="1" spans="1:26">
      <c r="A52" s="5"/>
      <c r="B52" s="1" t="s">
        <v>237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Height="1" spans="1:26">
      <c r="A53" s="5"/>
      <c r="B53" s="7" t="s">
        <v>637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Height="1" spans="1:26">
      <c r="A54" s="5"/>
      <c r="B54" s="1" t="s">
        <v>241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Height="1" spans="1:26">
      <c r="A55" s="5"/>
      <c r="B55" s="7" t="s">
        <v>638</v>
      </c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Height="1" spans="1:26">
      <c r="A56" s="5"/>
      <c r="B56" s="1" t="s">
        <v>639</v>
      </c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Height="1" spans="1:26">
      <c r="A57" s="5"/>
      <c r="B57" s="7" t="s">
        <v>640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1" t="s">
        <v>91</v>
      </c>
      <c r="S57" s="1">
        <v>1</v>
      </c>
      <c r="T57" s="1">
        <v>2</v>
      </c>
      <c r="U57" s="1">
        <v>3</v>
      </c>
      <c r="V57" s="1">
        <v>4</v>
      </c>
      <c r="W57" s="1">
        <v>5</v>
      </c>
      <c r="X57" s="5"/>
      <c r="Y57" s="5"/>
      <c r="Z57" s="5"/>
    </row>
    <row r="58" customHeight="1" spans="1:26">
      <c r="A58" s="5"/>
      <c r="B58" s="1" t="s">
        <v>641</v>
      </c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1" t="s">
        <v>642</v>
      </c>
      <c r="S58" s="1">
        <v>1</v>
      </c>
      <c r="T58" s="1">
        <v>2</v>
      </c>
      <c r="U58" s="1">
        <v>3</v>
      </c>
      <c r="V58" s="1">
        <v>5</v>
      </c>
      <c r="W58" s="5"/>
      <c r="X58" s="5"/>
      <c r="Y58" s="5"/>
      <c r="Z58" s="5"/>
    </row>
    <row r="59" customHeight="1" spans="1:26">
      <c r="A59" s="5"/>
      <c r="B59" s="5"/>
      <c r="C59" s="7" t="s">
        <v>643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1" t="s">
        <v>644</v>
      </c>
      <c r="S59" s="1">
        <v>1</v>
      </c>
      <c r="T59" s="1">
        <v>1</v>
      </c>
      <c r="U59" s="1">
        <v>2</v>
      </c>
      <c r="V59" s="1">
        <v>3</v>
      </c>
      <c r="W59" s="5"/>
      <c r="X59" s="5"/>
      <c r="Y59" s="5"/>
      <c r="Z59" s="5"/>
    </row>
    <row r="60" customHeight="1" spans="1:26">
      <c r="A60" s="5"/>
      <c r="B60" s="5"/>
      <c r="C60" s="7" t="s">
        <v>645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Height="1" spans="1:26">
      <c r="A61" s="5"/>
      <c r="B61" s="5"/>
      <c r="C61" s="1" t="s">
        <v>580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Height="1" spans="1:26">
      <c r="A62" s="5"/>
      <c r="B62" s="5"/>
      <c r="C62" s="7" t="s">
        <v>646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Height="1" spans="1:26">
      <c r="A63" s="5"/>
      <c r="B63" s="5"/>
      <c r="C63" s="1" t="s">
        <v>647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Height="1" spans="1:26">
      <c r="A64" s="5"/>
      <c r="B64" s="5"/>
      <c r="C64" s="7" t="s">
        <v>648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Height="1" spans="1:26">
      <c r="A65" s="5"/>
      <c r="B65" s="5"/>
      <c r="C65" s="1" t="s">
        <v>582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Height="1" spans="1:26">
      <c r="A66" s="5"/>
      <c r="B66" s="1"/>
      <c r="C66" s="7" t="s">
        <v>649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Height="1" spans="1:26">
      <c r="A67" s="5"/>
      <c r="B67" s="1"/>
      <c r="C67" s="18" t="s">
        <v>362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Height="1" spans="1:26">
      <c r="A68" s="5"/>
      <c r="B68" s="1"/>
      <c r="C68" s="7" t="s">
        <v>650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Height="1" spans="1:26">
      <c r="A69" s="5"/>
      <c r="B69" s="1" t="s">
        <v>173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Height="1" spans="1:26">
      <c r="A70" s="5"/>
      <c r="B70" s="7" t="s">
        <v>651</v>
      </c>
      <c r="C70" s="1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Height="1" spans="1:26">
      <c r="A71" s="5"/>
      <c r="B71" s="5"/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Height="1" spans="1:26">
      <c r="A72" s="5"/>
      <c r="B72" s="1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Height="1" spans="1:26">
      <c r="A73" s="5"/>
      <c r="B73" s="6" t="s">
        <v>261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Height="1" spans="1:26">
      <c r="A74" s="5"/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Height="1" spans="1:26">
      <c r="A75" s="5"/>
      <c r="B75" s="6" t="s">
        <v>103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Height="1" spans="1:26">
      <c r="A76" s="5"/>
      <c r="B76" s="7" t="s">
        <v>264</v>
      </c>
      <c r="C76" s="5"/>
      <c r="D76" s="5"/>
      <c r="E76" s="5"/>
      <c r="F76" s="5"/>
      <c r="G76" s="5"/>
      <c r="H76" s="5"/>
      <c r="I76" s="5"/>
      <c r="J76" s="5"/>
      <c r="K76" s="1" t="s">
        <v>265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Height="1" spans="1:26">
      <c r="A77" s="5"/>
      <c r="B77" s="1" t="s">
        <v>266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" t="s">
        <v>91</v>
      </c>
      <c r="P77" s="1" t="s">
        <v>578</v>
      </c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Height="1" spans="1:26">
      <c r="A78" s="5"/>
      <c r="B78" s="7" t="s">
        <v>267</v>
      </c>
      <c r="C78" s="5"/>
      <c r="D78" s="5"/>
      <c r="E78" s="5"/>
      <c r="F78" s="5"/>
      <c r="G78" s="5"/>
      <c r="H78" s="5"/>
      <c r="I78" s="5"/>
      <c r="J78" s="5"/>
      <c r="K78" s="1" t="s">
        <v>132</v>
      </c>
      <c r="L78" s="5"/>
      <c r="M78" s="5"/>
      <c r="N78" s="5"/>
      <c r="O78" s="1">
        <v>60</v>
      </c>
      <c r="P78" s="1">
        <v>52</v>
      </c>
      <c r="Q78" s="5"/>
      <c r="R78" s="1"/>
      <c r="S78" s="1"/>
      <c r="T78" s="5"/>
      <c r="U78" s="5"/>
      <c r="V78" s="5"/>
      <c r="W78" s="5"/>
      <c r="X78" s="5"/>
      <c r="Y78" s="5"/>
      <c r="Z78" s="5"/>
    </row>
    <row r="79" customHeight="1" spans="1:26">
      <c r="A79" s="5"/>
      <c r="B79" s="1" t="s">
        <v>268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">
        <v>8</v>
      </c>
      <c r="P79" s="1">
        <v>52</v>
      </c>
      <c r="Q79" s="5"/>
      <c r="R79" s="1"/>
      <c r="S79" s="1"/>
      <c r="T79" s="5"/>
      <c r="U79" s="5"/>
      <c r="V79" s="5"/>
      <c r="W79" s="5"/>
      <c r="X79" s="5"/>
      <c r="Y79" s="5"/>
      <c r="Z79" s="5"/>
    </row>
    <row r="80" customHeight="1" spans="1:26">
      <c r="A80" s="5"/>
      <c r="B80" s="7" t="s">
        <v>269</v>
      </c>
      <c r="C80" s="5"/>
      <c r="D80" s="5"/>
      <c r="E80" s="5"/>
      <c r="F80" s="5"/>
      <c r="G80" s="5"/>
      <c r="H80" s="5"/>
      <c r="I80" s="5"/>
      <c r="J80" s="5"/>
      <c r="K80" s="1" t="s">
        <v>132</v>
      </c>
      <c r="L80" s="5"/>
      <c r="M80" s="5"/>
      <c r="N80" s="5"/>
      <c r="O80" s="1">
        <v>8</v>
      </c>
      <c r="P80" s="5">
        <f>52-8</f>
        <v>44</v>
      </c>
      <c r="Q80" s="5"/>
      <c r="R80" s="1"/>
      <c r="S80" s="1"/>
      <c r="T80" s="5"/>
      <c r="U80" s="5"/>
      <c r="V80" s="5"/>
      <c r="W80" s="5"/>
      <c r="X80" s="5"/>
      <c r="Y80" s="5"/>
      <c r="Z80" s="5"/>
    </row>
    <row r="81" customHeight="1" spans="1:26">
      <c r="A81" s="5"/>
      <c r="B81" s="1" t="s">
        <v>581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">
        <v>8</v>
      </c>
      <c r="P81" s="5">
        <f>44-8</f>
        <v>36</v>
      </c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Height="1" spans="1:26">
      <c r="A82" s="5"/>
      <c r="B82" s="5"/>
      <c r="C82" s="7" t="s">
        <v>270</v>
      </c>
      <c r="D82" s="5"/>
      <c r="E82" s="5"/>
      <c r="F82" s="5"/>
      <c r="G82" s="5"/>
      <c r="H82" s="5"/>
      <c r="I82" s="5"/>
      <c r="J82" s="5"/>
      <c r="K82" s="1" t="s">
        <v>652</v>
      </c>
      <c r="L82" s="5"/>
      <c r="M82" s="5"/>
      <c r="N82" s="5"/>
      <c r="O82" s="1">
        <v>8</v>
      </c>
      <c r="P82" s="5">
        <f>36-8</f>
        <v>28</v>
      </c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Height="1" spans="1:26">
      <c r="A83" s="5"/>
      <c r="B83" s="5"/>
      <c r="C83" s="18" t="s">
        <v>653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">
        <v>8</v>
      </c>
      <c r="P83" s="1">
        <v>20</v>
      </c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Height="1" spans="1:26">
      <c r="A84" s="5"/>
      <c r="B84" s="5"/>
      <c r="C84" s="5"/>
      <c r="D84" s="7" t="s">
        <v>654</v>
      </c>
      <c r="E84" s="5"/>
      <c r="F84" s="5"/>
      <c r="G84" s="5"/>
      <c r="H84" s="5"/>
      <c r="I84" s="5"/>
      <c r="J84" s="5"/>
      <c r="K84" s="1" t="s">
        <v>655</v>
      </c>
      <c r="L84" s="5"/>
      <c r="M84" s="5"/>
      <c r="N84" s="5"/>
      <c r="O84" s="1">
        <v>8</v>
      </c>
      <c r="P84" s="1">
        <v>12</v>
      </c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Height="1" spans="1:26">
      <c r="A85" s="5"/>
      <c r="B85" s="5"/>
      <c r="C85" s="5"/>
      <c r="D85" s="7" t="s">
        <v>277</v>
      </c>
      <c r="E85" s="5"/>
      <c r="F85" s="5"/>
      <c r="G85" s="5"/>
      <c r="H85" s="5"/>
      <c r="I85" s="5"/>
      <c r="J85" s="5"/>
      <c r="K85" s="1" t="s">
        <v>265</v>
      </c>
      <c r="L85" s="5"/>
      <c r="M85" s="5"/>
      <c r="N85" s="5"/>
      <c r="O85" s="1">
        <v>8</v>
      </c>
      <c r="P85" s="1">
        <v>4</v>
      </c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Height="1" spans="1:26">
      <c r="A86" s="5"/>
      <c r="B86" s="5"/>
      <c r="C86" s="1"/>
      <c r="D86" s="1" t="s">
        <v>189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1">
        <v>4</v>
      </c>
      <c r="P86" s="1">
        <v>4</v>
      </c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Height="1" spans="1:26">
      <c r="A87" s="5"/>
      <c r="B87" s="5"/>
      <c r="C87" s="5"/>
      <c r="D87" s="7" t="s">
        <v>269</v>
      </c>
      <c r="E87" s="5"/>
      <c r="F87" s="5"/>
      <c r="G87" s="5"/>
      <c r="H87" s="5"/>
      <c r="I87" s="5"/>
      <c r="J87" s="5"/>
      <c r="K87" s="1" t="s">
        <v>132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Height="1" spans="1:26">
      <c r="A88" s="5"/>
      <c r="B88" s="5"/>
      <c r="C88" s="1" t="s">
        <v>173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" t="s">
        <v>91</v>
      </c>
      <c r="P88" s="1" t="s">
        <v>578</v>
      </c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Height="1" spans="1:26">
      <c r="A89" s="5"/>
      <c r="B89" s="5"/>
      <c r="C89" s="1" t="s">
        <v>255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">
        <v>60</v>
      </c>
      <c r="P89" s="1">
        <v>50</v>
      </c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Height="1" spans="1:26">
      <c r="A90" s="5"/>
      <c r="B90" s="5"/>
      <c r="C90" s="5"/>
      <c r="D90" s="7" t="s">
        <v>656</v>
      </c>
      <c r="E90" s="5"/>
      <c r="F90" s="5"/>
      <c r="G90" s="5"/>
      <c r="H90" s="5"/>
      <c r="I90" s="5"/>
      <c r="J90" s="5"/>
      <c r="K90" s="1" t="s">
        <v>655</v>
      </c>
      <c r="L90" s="5"/>
      <c r="M90" s="5"/>
      <c r="N90" s="5"/>
      <c r="O90" s="1">
        <v>10</v>
      </c>
      <c r="P90" s="1">
        <v>50</v>
      </c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Height="1" spans="1:26">
      <c r="A91" s="5"/>
      <c r="B91" s="5"/>
      <c r="C91" s="5"/>
      <c r="D91" s="7" t="s">
        <v>274</v>
      </c>
      <c r="E91" s="5"/>
      <c r="F91" s="5"/>
      <c r="G91" s="5"/>
      <c r="H91" s="5"/>
      <c r="I91" s="5"/>
      <c r="J91" s="5"/>
      <c r="K91" s="1" t="s">
        <v>265</v>
      </c>
      <c r="L91" s="5"/>
      <c r="M91" s="5"/>
      <c r="N91" s="5"/>
      <c r="O91" s="1">
        <v>10</v>
      </c>
      <c r="P91" s="1">
        <v>40</v>
      </c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Height="1" spans="1:26">
      <c r="A92" s="5"/>
      <c r="B92" s="5"/>
      <c r="C92" s="5"/>
      <c r="D92" s="1" t="s">
        <v>182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1">
        <v>10</v>
      </c>
      <c r="P92" s="1">
        <v>30</v>
      </c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Height="1" spans="1:26">
      <c r="A93" s="5"/>
      <c r="B93" s="5"/>
      <c r="C93" s="5"/>
      <c r="D93" s="7" t="s">
        <v>269</v>
      </c>
      <c r="E93" s="5"/>
      <c r="F93" s="5"/>
      <c r="G93" s="5"/>
      <c r="H93" s="5"/>
      <c r="I93" s="5"/>
      <c r="J93" s="5"/>
      <c r="K93" s="1" t="s">
        <v>132</v>
      </c>
      <c r="L93" s="5"/>
      <c r="M93" s="5"/>
      <c r="N93" s="5"/>
      <c r="O93" s="1">
        <v>10</v>
      </c>
      <c r="P93" s="1">
        <v>20</v>
      </c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Height="1" spans="1:26">
      <c r="A94" s="5"/>
      <c r="B94" s="5"/>
      <c r="C94" s="1" t="s">
        <v>173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">
        <v>10</v>
      </c>
      <c r="P94" s="1">
        <v>10</v>
      </c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Height="1" spans="1:26">
      <c r="A95" s="5"/>
      <c r="B95" s="5"/>
      <c r="C95" s="7" t="s">
        <v>269</v>
      </c>
      <c r="D95" s="5"/>
      <c r="E95" s="5"/>
      <c r="F95" s="5"/>
      <c r="G95" s="5"/>
      <c r="H95" s="5"/>
      <c r="I95" s="5"/>
      <c r="J95" s="5"/>
      <c r="K95" s="1" t="s">
        <v>655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Height="1" spans="1:26">
      <c r="A96" s="5"/>
      <c r="B96" s="1" t="s">
        <v>173</v>
      </c>
      <c r="C96" s="1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Height="1" spans="1:26">
      <c r="A97" s="5"/>
      <c r="B97" s="7" t="s">
        <v>279</v>
      </c>
      <c r="C97" s="5"/>
      <c r="D97" s="5"/>
      <c r="E97" s="5"/>
      <c r="F97" s="5"/>
      <c r="G97" s="5"/>
      <c r="H97" s="5"/>
      <c r="I97" s="5"/>
      <c r="J97" s="5"/>
      <c r="K97" s="1" t="s">
        <v>657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Height="1" spans="1:26">
      <c r="A98" s="5"/>
      <c r="B98" s="6" t="s">
        <v>588</v>
      </c>
      <c r="C98" s="5"/>
      <c r="D98" s="5"/>
      <c r="E98" s="5"/>
      <c r="F98" s="5"/>
      <c r="G98" s="5"/>
      <c r="H98" s="5"/>
      <c r="I98" s="5"/>
      <c r="J98" s="5"/>
      <c r="K98" s="1" t="s">
        <v>265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Height="1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Height="1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Height="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Height="1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Height="1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Height="1" spans="1:26">
      <c r="A104" s="5"/>
      <c r="B104" s="6" t="s">
        <v>451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Height="1" spans="1:26">
      <c r="A105" s="5"/>
      <c r="B105" s="7" t="s">
        <v>658</v>
      </c>
      <c r="C105" s="5"/>
      <c r="D105" s="5"/>
      <c r="E105" s="5"/>
      <c r="F105" s="5"/>
      <c r="G105" s="5"/>
      <c r="H105" s="5"/>
      <c r="I105" s="1" t="s">
        <v>265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Height="1" spans="1:26">
      <c r="A106" s="5"/>
      <c r="B106" s="1" t="s">
        <v>283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Height="1" spans="1:26">
      <c r="A107" s="5"/>
      <c r="B107" s="7" t="s">
        <v>659</v>
      </c>
      <c r="C107" s="5"/>
      <c r="D107" s="5"/>
      <c r="E107" s="5"/>
      <c r="F107" s="5"/>
      <c r="G107" s="5"/>
      <c r="H107" s="5"/>
      <c r="I107" s="1" t="s">
        <v>132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Height="1" spans="1:26">
      <c r="A108" s="5"/>
      <c r="B108" s="1" t="s">
        <v>454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Height="1" spans="1:26">
      <c r="A109" s="5"/>
      <c r="B109" s="7" t="s">
        <v>660</v>
      </c>
      <c r="C109" s="5"/>
      <c r="D109" s="5"/>
      <c r="E109" s="5"/>
      <c r="F109" s="5"/>
      <c r="G109" s="5"/>
      <c r="H109" s="5"/>
      <c r="I109" s="1" t="s">
        <v>132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Height="1" spans="1:26">
      <c r="A110" s="5"/>
      <c r="B110" s="1" t="s">
        <v>661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Height="1" spans="1:26">
      <c r="A111" s="5"/>
      <c r="B111" s="5"/>
      <c r="C111" s="7" t="s">
        <v>662</v>
      </c>
      <c r="D111" s="5"/>
      <c r="E111" s="5"/>
      <c r="F111" s="5"/>
      <c r="G111" s="5"/>
      <c r="H111" s="5"/>
      <c r="I111" s="1" t="s">
        <v>652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Height="1" spans="1:26">
      <c r="A112" s="5"/>
      <c r="B112" s="5"/>
      <c r="C112" s="7" t="s">
        <v>663</v>
      </c>
      <c r="D112" s="5"/>
      <c r="E112" s="5"/>
      <c r="F112" s="5"/>
      <c r="G112" s="5"/>
      <c r="H112" s="5"/>
      <c r="I112" s="1" t="s">
        <v>265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Height="1" spans="1:26">
      <c r="A113" s="5"/>
      <c r="B113" s="5"/>
      <c r="C113" s="1" t="s">
        <v>664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Height="1" spans="1:26">
      <c r="A114" s="5"/>
      <c r="B114" s="5"/>
      <c r="C114" s="7" t="s">
        <v>665</v>
      </c>
      <c r="D114" s="5"/>
      <c r="E114" s="5"/>
      <c r="F114" s="5"/>
      <c r="G114" s="5"/>
      <c r="H114" s="5"/>
      <c r="I114" s="1" t="s">
        <v>132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Height="1" spans="1:26">
      <c r="A115" s="5"/>
      <c r="B115" s="5"/>
      <c r="C115" s="1" t="s">
        <v>391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Height="1" spans="1:26">
      <c r="A116" s="5"/>
      <c r="B116" s="5"/>
      <c r="C116" s="7" t="s">
        <v>666</v>
      </c>
      <c r="D116" s="5"/>
      <c r="E116" s="5"/>
      <c r="F116" s="5"/>
      <c r="G116" s="5"/>
      <c r="H116" s="5"/>
      <c r="I116" s="1" t="s">
        <v>132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Height="1" spans="1:26">
      <c r="A117" s="5"/>
      <c r="B117" s="1" t="s">
        <v>173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Height="1" spans="1:26">
      <c r="A118" s="5"/>
      <c r="B118" s="7" t="s">
        <v>667</v>
      </c>
      <c r="C118" s="5"/>
      <c r="D118" s="5"/>
      <c r="E118" s="5"/>
      <c r="F118" s="5"/>
      <c r="G118" s="5"/>
      <c r="H118" s="5"/>
      <c r="I118" s="1" t="s">
        <v>668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Height="1" spans="1:26">
      <c r="A119" s="5"/>
      <c r="B119" s="6" t="s">
        <v>669</v>
      </c>
      <c r="C119" s="5"/>
      <c r="D119" s="5"/>
      <c r="E119" s="5"/>
      <c r="F119" s="5"/>
      <c r="G119" s="5"/>
      <c r="H119" s="5"/>
      <c r="I119" s="1" t="s">
        <v>265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Height="1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Height="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Height="1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Height="1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Height="1" spans="1:26">
      <c r="A124" s="5"/>
      <c r="B124" s="6" t="s">
        <v>589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T124" s="1" t="s">
        <v>91</v>
      </c>
      <c r="U124" s="1" t="s">
        <v>578</v>
      </c>
      <c r="V124" s="1" t="s">
        <v>670</v>
      </c>
      <c r="W124" s="1" t="s">
        <v>671</v>
      </c>
      <c r="X124" s="5"/>
      <c r="Y124" s="5"/>
      <c r="Z124" s="5"/>
    </row>
    <row r="125" customHeight="1" spans="1:26">
      <c r="A125" s="5"/>
      <c r="B125" s="7" t="s">
        <v>672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1" t="s">
        <v>265</v>
      </c>
      <c r="R125" s="5"/>
      <c r="T125" s="1">
        <v>60</v>
      </c>
      <c r="U125" s="1">
        <v>52</v>
      </c>
      <c r="V125" s="5">
        <f t="shared" ref="V125:V133" si="0">ABS(T125-U125)</f>
        <v>8</v>
      </c>
      <c r="W125" s="5">
        <f t="shared" ref="W125:X125" si="1">T125-$T$133</f>
        <v>56</v>
      </c>
      <c r="X125" s="5">
        <f t="shared" si="1"/>
        <v>48</v>
      </c>
      <c r="Y125" s="5">
        <f t="shared" ref="Y125:Y133" si="2">W125+X125</f>
        <v>104</v>
      </c>
      <c r="Z125" s="5"/>
    </row>
    <row r="126" customHeight="1" spans="1:26">
      <c r="A126" s="5"/>
      <c r="B126" s="1" t="s">
        <v>266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T126" s="1">
        <v>8</v>
      </c>
      <c r="U126" s="1">
        <v>52</v>
      </c>
      <c r="V126" s="5">
        <f t="shared" si="0"/>
        <v>44</v>
      </c>
      <c r="W126" s="5">
        <f t="shared" ref="W126:X126" si="3">T126-$T$133</f>
        <v>4</v>
      </c>
      <c r="X126" s="5">
        <f t="shared" si="3"/>
        <v>48</v>
      </c>
      <c r="Y126" s="5">
        <f t="shared" si="2"/>
        <v>52</v>
      </c>
      <c r="Z126" s="5"/>
    </row>
    <row r="127" customHeight="1" spans="1:26">
      <c r="A127" s="5"/>
      <c r="B127" s="7" t="s">
        <v>673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1" t="s">
        <v>132</v>
      </c>
      <c r="R127" s="5"/>
      <c r="T127" s="1">
        <v>8</v>
      </c>
      <c r="U127" s="5">
        <f>52-8</f>
        <v>44</v>
      </c>
      <c r="V127" s="5">
        <f t="shared" si="0"/>
        <v>36</v>
      </c>
      <c r="W127" s="5">
        <f t="shared" ref="W127:X127" si="4">T127-$T$133</f>
        <v>4</v>
      </c>
      <c r="X127" s="5">
        <f t="shared" si="4"/>
        <v>40</v>
      </c>
      <c r="Y127" s="5">
        <f t="shared" si="2"/>
        <v>44</v>
      </c>
      <c r="Z127" s="5"/>
    </row>
    <row r="128" customHeight="1" spans="1:26">
      <c r="A128" s="5"/>
      <c r="B128" s="1" t="s">
        <v>268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T128" s="1">
        <v>8</v>
      </c>
      <c r="U128" s="5">
        <f>44-8</f>
        <v>36</v>
      </c>
      <c r="V128" s="5">
        <f t="shared" si="0"/>
        <v>28</v>
      </c>
      <c r="W128" s="5">
        <f t="shared" ref="W128:X128" si="5">T128-$T$133</f>
        <v>4</v>
      </c>
      <c r="X128" s="5">
        <f t="shared" si="5"/>
        <v>32</v>
      </c>
      <c r="Y128" s="5">
        <f t="shared" si="2"/>
        <v>36</v>
      </c>
      <c r="Z128" s="5"/>
    </row>
    <row r="129" customHeight="1" spans="1:26">
      <c r="A129" s="5"/>
      <c r="B129" s="7" t="s">
        <v>674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1" t="s">
        <v>132</v>
      </c>
      <c r="R129" s="5"/>
      <c r="T129" s="1">
        <v>8</v>
      </c>
      <c r="U129" s="5">
        <f>36-8</f>
        <v>28</v>
      </c>
      <c r="V129" s="5">
        <f t="shared" si="0"/>
        <v>20</v>
      </c>
      <c r="W129" s="5">
        <f t="shared" ref="W129:X129" si="6">T129-$T$133</f>
        <v>4</v>
      </c>
      <c r="X129" s="5">
        <f t="shared" si="6"/>
        <v>24</v>
      </c>
      <c r="Y129" s="5">
        <f t="shared" si="2"/>
        <v>28</v>
      </c>
      <c r="Z129" s="5"/>
    </row>
    <row r="130" customHeight="1" spans="1:26">
      <c r="A130" s="5"/>
      <c r="B130" s="1" t="s">
        <v>581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T130" s="1">
        <v>8</v>
      </c>
      <c r="U130" s="1">
        <v>20</v>
      </c>
      <c r="V130" s="5">
        <f t="shared" si="0"/>
        <v>12</v>
      </c>
      <c r="W130" s="5">
        <f t="shared" ref="W130:X130" si="7">T130-$T$133</f>
        <v>4</v>
      </c>
      <c r="X130" s="5">
        <f t="shared" si="7"/>
        <v>16</v>
      </c>
      <c r="Y130" s="5">
        <f t="shared" si="2"/>
        <v>20</v>
      </c>
      <c r="Z130" s="5"/>
    </row>
    <row r="131" customHeight="1" spans="1:26">
      <c r="A131" s="5"/>
      <c r="B131" s="5"/>
      <c r="C131" s="7" t="s">
        <v>675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1" t="s">
        <v>652</v>
      </c>
      <c r="R131" s="5"/>
      <c r="T131" s="1">
        <v>8</v>
      </c>
      <c r="U131" s="1">
        <v>12</v>
      </c>
      <c r="V131" s="5">
        <f t="shared" si="0"/>
        <v>4</v>
      </c>
      <c r="W131" s="5">
        <f t="shared" ref="W131:X131" si="8">T131-$T$133</f>
        <v>4</v>
      </c>
      <c r="X131" s="5">
        <f t="shared" si="8"/>
        <v>8</v>
      </c>
      <c r="Y131" s="5">
        <f t="shared" si="2"/>
        <v>12</v>
      </c>
      <c r="Z131" s="5"/>
    </row>
    <row r="132" customHeight="1" spans="1:26">
      <c r="A132" s="5"/>
      <c r="B132" s="5"/>
      <c r="C132" s="18" t="s">
        <v>653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T132" s="1">
        <v>8</v>
      </c>
      <c r="U132" s="1">
        <v>4</v>
      </c>
      <c r="V132" s="5">
        <f t="shared" si="0"/>
        <v>4</v>
      </c>
      <c r="W132" s="5">
        <f t="shared" ref="W132:X132" si="9">T132-$T$133</f>
        <v>4</v>
      </c>
      <c r="X132" s="5">
        <f t="shared" si="9"/>
        <v>0</v>
      </c>
      <c r="Y132" s="5">
        <f t="shared" si="2"/>
        <v>4</v>
      </c>
      <c r="Z132" s="5"/>
    </row>
    <row r="133" customHeight="1" spans="1:26">
      <c r="A133" s="5"/>
      <c r="B133" s="5"/>
      <c r="C133" s="5"/>
      <c r="D133" s="7" t="s">
        <v>676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1" t="s">
        <v>677</v>
      </c>
      <c r="R133" s="5"/>
      <c r="T133" s="1">
        <v>4</v>
      </c>
      <c r="U133" s="1">
        <v>4</v>
      </c>
      <c r="V133" s="5">
        <f t="shared" si="0"/>
        <v>0</v>
      </c>
      <c r="W133" s="5">
        <f t="shared" ref="W133:X133" si="10">T133-$T$133</f>
        <v>0</v>
      </c>
      <c r="X133" s="5">
        <f t="shared" si="10"/>
        <v>0</v>
      </c>
      <c r="Y133" s="5">
        <f t="shared" si="2"/>
        <v>0</v>
      </c>
      <c r="Z133" s="5"/>
    </row>
    <row r="134" customHeight="1" spans="1:26">
      <c r="A134" s="5"/>
      <c r="B134" s="5"/>
      <c r="C134" s="5"/>
      <c r="D134" s="7" t="s">
        <v>678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1" t="s">
        <v>265</v>
      </c>
      <c r="R134" s="5"/>
      <c r="T134" s="5"/>
      <c r="U134" s="5"/>
      <c r="V134" s="5"/>
      <c r="W134" s="5"/>
      <c r="X134" s="5"/>
      <c r="Y134" s="5"/>
      <c r="Z134" s="5"/>
    </row>
    <row r="135" customHeight="1" spans="1:26">
      <c r="A135" s="5"/>
      <c r="B135" s="5"/>
      <c r="C135" s="1"/>
      <c r="D135" s="1" t="s">
        <v>189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T135" s="1" t="s">
        <v>91</v>
      </c>
      <c r="U135" s="1" t="s">
        <v>578</v>
      </c>
      <c r="V135" s="1" t="s">
        <v>670</v>
      </c>
      <c r="W135" s="1" t="s">
        <v>671</v>
      </c>
      <c r="X135" s="5"/>
      <c r="Y135" s="5"/>
      <c r="Z135" s="5"/>
    </row>
    <row r="136" customHeight="1" spans="1:26">
      <c r="A136" s="5"/>
      <c r="B136" s="5"/>
      <c r="C136" s="5"/>
      <c r="D136" s="7" t="s">
        <v>679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1" t="s">
        <v>132</v>
      </c>
      <c r="R136" s="5"/>
      <c r="T136" s="1">
        <v>60</v>
      </c>
      <c r="U136" s="1">
        <v>42</v>
      </c>
      <c r="V136" s="5">
        <f t="shared" ref="V136:V141" si="11">ABS(T136-U136)</f>
        <v>18</v>
      </c>
      <c r="W136" s="5">
        <f t="shared" ref="W136:X136" si="12">T136-$T$141</f>
        <v>54</v>
      </c>
      <c r="X136" s="5">
        <f t="shared" si="12"/>
        <v>36</v>
      </c>
      <c r="Y136" s="5">
        <f t="shared" ref="Y136:Y141" si="13">W136+X136</f>
        <v>90</v>
      </c>
      <c r="Z136" s="5"/>
    </row>
    <row r="137" customHeight="1" spans="1:26">
      <c r="A137" s="5"/>
      <c r="B137" s="5"/>
      <c r="C137" s="1" t="s">
        <v>173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T137" s="1">
        <v>18</v>
      </c>
      <c r="U137" s="1">
        <v>42</v>
      </c>
      <c r="V137" s="5">
        <f t="shared" si="11"/>
        <v>24</v>
      </c>
      <c r="W137" s="5">
        <f t="shared" ref="W137:X137" si="14">T137-$T$141</f>
        <v>12</v>
      </c>
      <c r="X137" s="5">
        <f t="shared" si="14"/>
        <v>36</v>
      </c>
      <c r="Y137" s="5">
        <f t="shared" si="13"/>
        <v>48</v>
      </c>
      <c r="Z137" s="5"/>
    </row>
    <row r="138" customHeight="1" spans="1:26">
      <c r="A138" s="5"/>
      <c r="B138" s="5"/>
      <c r="C138" s="1" t="s">
        <v>255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1"/>
      <c r="R138" s="5"/>
      <c r="T138" s="1">
        <v>18</v>
      </c>
      <c r="U138" s="1">
        <v>24</v>
      </c>
      <c r="V138" s="5">
        <f t="shared" si="11"/>
        <v>6</v>
      </c>
      <c r="W138" s="5">
        <f t="shared" ref="W138:X138" si="15">T138-$T$141</f>
        <v>12</v>
      </c>
      <c r="X138" s="5">
        <f t="shared" si="15"/>
        <v>18</v>
      </c>
      <c r="Y138" s="5">
        <f t="shared" si="13"/>
        <v>30</v>
      </c>
      <c r="Z138" s="5"/>
    </row>
    <row r="139" customHeight="1" spans="1:26">
      <c r="A139" s="5"/>
      <c r="B139" s="5"/>
      <c r="C139" s="5"/>
      <c r="D139" s="7" t="s">
        <v>680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1" t="s">
        <v>677</v>
      </c>
      <c r="R139" s="5"/>
      <c r="T139" s="1">
        <v>18</v>
      </c>
      <c r="U139" s="1">
        <v>6</v>
      </c>
      <c r="V139" s="5">
        <f t="shared" si="11"/>
        <v>12</v>
      </c>
      <c r="W139" s="5">
        <f t="shared" ref="W139:X139" si="16">T139-$T$141</f>
        <v>12</v>
      </c>
      <c r="X139" s="5">
        <f t="shared" si="16"/>
        <v>0</v>
      </c>
      <c r="Y139" s="5">
        <f t="shared" si="13"/>
        <v>12</v>
      </c>
      <c r="Z139" s="5"/>
    </row>
    <row r="140" customHeight="1" spans="1:26">
      <c r="A140" s="5"/>
      <c r="B140" s="5"/>
      <c r="C140" s="5"/>
      <c r="D140" s="7" t="s">
        <v>681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1" t="s">
        <v>265</v>
      </c>
      <c r="R140" s="5"/>
      <c r="T140" s="1">
        <v>12</v>
      </c>
      <c r="U140" s="1">
        <v>6</v>
      </c>
      <c r="V140" s="5">
        <f t="shared" si="11"/>
        <v>6</v>
      </c>
      <c r="W140" s="5">
        <f t="shared" ref="W140:X140" si="17">T140-$T$141</f>
        <v>6</v>
      </c>
      <c r="X140" s="5">
        <f t="shared" si="17"/>
        <v>0</v>
      </c>
      <c r="Y140" s="5">
        <f t="shared" si="13"/>
        <v>6</v>
      </c>
      <c r="Z140" s="5"/>
    </row>
    <row r="141" customHeight="1" spans="1:26">
      <c r="A141" s="5"/>
      <c r="B141" s="5"/>
      <c r="C141" s="5"/>
      <c r="D141" s="1" t="s">
        <v>182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T141" s="1">
        <v>6</v>
      </c>
      <c r="U141" s="1">
        <v>6</v>
      </c>
      <c r="V141" s="5">
        <f t="shared" si="11"/>
        <v>0</v>
      </c>
      <c r="W141" s="5">
        <f t="shared" ref="W141:X141" si="18">T141-$T$141</f>
        <v>0</v>
      </c>
      <c r="X141" s="5">
        <f t="shared" si="18"/>
        <v>0</v>
      </c>
      <c r="Y141" s="5">
        <f t="shared" si="13"/>
        <v>0</v>
      </c>
      <c r="Z141" s="5"/>
    </row>
    <row r="142" customHeight="1" spans="1:26">
      <c r="A142" s="5"/>
      <c r="B142" s="5"/>
      <c r="C142" s="5"/>
      <c r="D142" s="7" t="s">
        <v>679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1" t="s">
        <v>132</v>
      </c>
      <c r="R142" s="5"/>
      <c r="S142" s="5"/>
      <c r="T142" s="5"/>
      <c r="U142" s="5"/>
      <c r="V142" s="5"/>
      <c r="W142" s="5"/>
      <c r="X142" s="5"/>
      <c r="Y142" s="5"/>
      <c r="Z142" s="5"/>
    </row>
    <row r="143" customHeight="1" spans="1:26">
      <c r="A143" s="5"/>
      <c r="B143" s="5"/>
      <c r="C143" s="1" t="s">
        <v>173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Height="1" spans="1:26">
      <c r="A144" s="5"/>
      <c r="B144" s="5"/>
      <c r="C144" s="7" t="s">
        <v>679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1" t="s">
        <v>677</v>
      </c>
      <c r="R144" s="5"/>
      <c r="S144" s="5"/>
      <c r="T144" s="5"/>
      <c r="U144" s="5"/>
      <c r="V144" s="5"/>
      <c r="W144" s="5"/>
      <c r="X144" s="5"/>
      <c r="Y144" s="5"/>
      <c r="Z144" s="5"/>
    </row>
    <row r="145" customHeight="1" spans="1:26">
      <c r="A145" s="5"/>
      <c r="B145" s="1" t="s">
        <v>173</v>
      </c>
      <c r="C145" s="1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Height="1" spans="1:26">
      <c r="A146" s="5"/>
      <c r="B146" s="7" t="s">
        <v>279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Height="1" spans="1:26">
      <c r="A147" s="5"/>
      <c r="B147" s="6" t="s">
        <v>588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1" t="s">
        <v>265</v>
      </c>
      <c r="R147" s="5"/>
      <c r="S147" s="5"/>
      <c r="T147" s="5"/>
      <c r="U147" s="5"/>
      <c r="V147" s="5"/>
      <c r="W147" s="5"/>
      <c r="X147" s="5"/>
      <c r="Y147" s="5"/>
      <c r="Z147" s="5"/>
    </row>
    <row r="148" customHeight="1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Height="1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Height="1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Height="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Height="1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Height="1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Height="1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Height="1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Height="1" spans="1:26">
      <c r="A156" s="5"/>
      <c r="B156" s="20"/>
      <c r="C156" s="20"/>
      <c r="D156" s="5"/>
      <c r="E156" s="5"/>
      <c r="F156" s="5"/>
      <c r="G156" s="5"/>
      <c r="H156" s="5"/>
      <c r="I156" s="5"/>
      <c r="J156" s="5"/>
      <c r="K156" s="20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Height="1" spans="1:26">
      <c r="A157" s="5"/>
      <c r="B157" s="16" t="s">
        <v>682</v>
      </c>
      <c r="C157" s="20"/>
      <c r="D157" s="20"/>
      <c r="E157" s="20"/>
      <c r="F157" s="20"/>
      <c r="G157" s="5"/>
      <c r="H157" s="20"/>
      <c r="I157" s="20"/>
      <c r="J157" s="20"/>
      <c r="K157" s="5"/>
      <c r="L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Height="1" spans="1:26">
      <c r="A158" s="5"/>
      <c r="B158" s="17" t="s">
        <v>683</v>
      </c>
      <c r="C158" s="20"/>
      <c r="D158" s="20"/>
      <c r="E158" s="20"/>
      <c r="F158" s="20"/>
      <c r="G158" s="5"/>
      <c r="H158" s="20"/>
      <c r="I158" s="20"/>
      <c r="J158" s="20"/>
      <c r="K158" s="5"/>
      <c r="L158" s="5"/>
      <c r="N158" s="1" t="s">
        <v>265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Height="1" spans="1:26">
      <c r="A159" s="5"/>
      <c r="B159" s="20" t="s">
        <v>312</v>
      </c>
      <c r="C159" s="20"/>
      <c r="D159" s="20"/>
      <c r="E159" s="20"/>
      <c r="F159" s="20"/>
      <c r="G159" s="5"/>
      <c r="H159" s="20"/>
      <c r="I159" s="20"/>
      <c r="J159" s="20"/>
      <c r="K159" s="5"/>
      <c r="L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Height="1" spans="1:26">
      <c r="A160" s="5"/>
      <c r="B160" s="17" t="s">
        <v>684</v>
      </c>
      <c r="C160" s="20"/>
      <c r="D160" s="20"/>
      <c r="E160" s="20"/>
      <c r="F160" s="20"/>
      <c r="G160" s="5"/>
      <c r="H160" s="20"/>
      <c r="I160" s="20"/>
      <c r="J160" s="20"/>
      <c r="K160" s="5"/>
      <c r="L160" s="5"/>
      <c r="N160" s="1" t="s">
        <v>132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Height="1" spans="1:26">
      <c r="A161" s="5"/>
      <c r="B161" s="20" t="s">
        <v>685</v>
      </c>
      <c r="C161" s="20"/>
      <c r="D161" s="20"/>
      <c r="E161" s="20"/>
      <c r="F161" s="20"/>
      <c r="G161" s="5"/>
      <c r="H161" s="20"/>
      <c r="I161" s="20"/>
      <c r="J161" s="20"/>
      <c r="K161" s="5"/>
      <c r="L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Height="1" spans="1:26">
      <c r="A162" s="5"/>
      <c r="B162" s="17" t="s">
        <v>686</v>
      </c>
      <c r="C162" s="20"/>
      <c r="D162" s="20"/>
      <c r="E162" s="20"/>
      <c r="F162" s="20"/>
      <c r="G162" s="20"/>
      <c r="H162" s="20"/>
      <c r="I162" s="20"/>
      <c r="J162" s="20"/>
      <c r="K162" s="5"/>
      <c r="L162" s="5"/>
      <c r="N162" s="1" t="s">
        <v>132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Height="1" spans="1:26">
      <c r="A163" s="5"/>
      <c r="B163" s="20" t="s">
        <v>687</v>
      </c>
      <c r="C163" s="20"/>
      <c r="D163" s="20"/>
      <c r="E163" s="20"/>
      <c r="F163" s="20"/>
      <c r="G163" s="20"/>
      <c r="H163" s="20"/>
      <c r="I163" s="20"/>
      <c r="J163" s="20"/>
      <c r="K163" s="5"/>
      <c r="L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Height="1" spans="1:26">
      <c r="A164" s="5"/>
      <c r="B164" s="20"/>
      <c r="C164" s="17" t="s">
        <v>688</v>
      </c>
      <c r="D164" s="20"/>
      <c r="E164" s="20"/>
      <c r="F164" s="20"/>
      <c r="G164" s="20"/>
      <c r="H164" s="20"/>
      <c r="I164" s="20"/>
      <c r="J164" s="20"/>
      <c r="K164" s="5"/>
      <c r="L164" s="5"/>
      <c r="N164" s="1" t="s">
        <v>652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Height="1" spans="1:26">
      <c r="A165" s="5"/>
      <c r="B165" s="20"/>
      <c r="C165" s="20" t="s">
        <v>689</v>
      </c>
      <c r="D165" s="20"/>
      <c r="E165" s="20"/>
      <c r="F165" s="20"/>
      <c r="G165" s="20"/>
      <c r="H165" s="20"/>
      <c r="I165" s="20"/>
      <c r="J165" s="20"/>
      <c r="K165" s="5"/>
      <c r="L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Height="1" spans="1:26">
      <c r="A166" s="5"/>
      <c r="D166" s="17" t="s">
        <v>690</v>
      </c>
      <c r="N166" s="1" t="s">
        <v>655</v>
      </c>
      <c r="O166" s="5"/>
      <c r="P166" s="9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Height="1" spans="1:26">
      <c r="A167" s="5"/>
      <c r="B167" s="20"/>
      <c r="C167" s="20"/>
      <c r="D167" s="17" t="s">
        <v>691</v>
      </c>
      <c r="E167" s="20"/>
      <c r="F167" s="20"/>
      <c r="G167" s="20"/>
      <c r="H167" s="20"/>
      <c r="I167" s="20"/>
      <c r="J167" s="20"/>
      <c r="K167" s="5"/>
      <c r="L167" s="5"/>
      <c r="N167" s="1" t="s">
        <v>265</v>
      </c>
      <c r="O167" s="5"/>
      <c r="P167" s="9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Height="1" spans="1:26">
      <c r="A168" s="5"/>
      <c r="B168" s="20"/>
      <c r="C168" s="20"/>
      <c r="D168" s="20" t="s">
        <v>325</v>
      </c>
      <c r="E168" s="20"/>
      <c r="F168" s="20"/>
      <c r="G168" s="20"/>
      <c r="H168" s="20"/>
      <c r="I168" s="20"/>
      <c r="J168" s="20"/>
      <c r="K168" s="5"/>
      <c r="L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Height="1" spans="1:26">
      <c r="A169" s="5"/>
      <c r="B169" s="20"/>
      <c r="C169" s="20"/>
      <c r="D169" s="17" t="s">
        <v>692</v>
      </c>
      <c r="E169" s="20"/>
      <c r="F169" s="20"/>
      <c r="G169" s="20"/>
      <c r="H169" s="20"/>
      <c r="I169" s="20"/>
      <c r="J169" s="20"/>
      <c r="K169" s="5"/>
      <c r="L169" s="5"/>
      <c r="N169" s="1" t="s">
        <v>132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Height="1" spans="1:26">
      <c r="A170" s="5"/>
      <c r="B170" s="20"/>
      <c r="C170" s="20" t="s">
        <v>173</v>
      </c>
      <c r="D170" s="20"/>
      <c r="E170" s="20"/>
      <c r="F170" s="20"/>
      <c r="G170" s="20"/>
      <c r="H170" s="20"/>
      <c r="I170" s="20"/>
      <c r="J170" s="20"/>
      <c r="K170" s="5"/>
      <c r="L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Height="1" spans="1:26">
      <c r="A171" s="5"/>
      <c r="B171" s="20"/>
      <c r="C171" s="21" t="s">
        <v>255</v>
      </c>
      <c r="D171" s="20"/>
      <c r="E171" s="20"/>
      <c r="F171" s="20"/>
      <c r="G171" s="20"/>
      <c r="H171" s="20"/>
      <c r="I171" s="20"/>
      <c r="J171" s="20"/>
      <c r="K171" s="5"/>
      <c r="L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Height="1" spans="1:26">
      <c r="A172" s="5"/>
      <c r="B172" s="20"/>
      <c r="C172" s="17"/>
      <c r="D172" s="17" t="s">
        <v>693</v>
      </c>
      <c r="E172" s="20"/>
      <c r="F172" s="20"/>
      <c r="G172" s="20"/>
      <c r="H172" s="20"/>
      <c r="I172" s="20"/>
      <c r="J172" s="20"/>
      <c r="K172" s="5"/>
      <c r="L172" s="5"/>
      <c r="N172" s="1" t="s">
        <v>655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Height="1" spans="1:26">
      <c r="A173" s="5"/>
      <c r="B173" s="20"/>
      <c r="C173" s="17"/>
      <c r="D173" s="17" t="s">
        <v>692</v>
      </c>
      <c r="E173" s="20"/>
      <c r="F173" s="20"/>
      <c r="G173" s="20"/>
      <c r="H173" s="20"/>
      <c r="I173" s="20"/>
      <c r="J173" s="20"/>
      <c r="K173" s="5"/>
      <c r="L173" s="5"/>
      <c r="N173" s="1" t="s">
        <v>265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Height="1" spans="1:26">
      <c r="A174" s="5"/>
      <c r="B174" s="20"/>
      <c r="C174" s="21" t="s">
        <v>173</v>
      </c>
      <c r="D174" s="20"/>
      <c r="E174" s="20"/>
      <c r="F174" s="20"/>
      <c r="G174" s="20"/>
      <c r="H174" s="20"/>
      <c r="I174" s="20"/>
      <c r="J174" s="20"/>
      <c r="K174" s="5"/>
      <c r="L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Height="1" spans="1:26">
      <c r="A175" s="5"/>
      <c r="B175" s="20"/>
      <c r="C175" s="17" t="s">
        <v>692</v>
      </c>
      <c r="D175" s="20"/>
      <c r="E175" s="20"/>
      <c r="F175" s="20"/>
      <c r="G175" s="20"/>
      <c r="H175" s="20"/>
      <c r="I175" s="20"/>
      <c r="J175" s="20"/>
      <c r="K175" s="5"/>
      <c r="L175" s="5"/>
      <c r="N175" s="1" t="s">
        <v>655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Height="1" spans="1:26">
      <c r="A176" s="5"/>
      <c r="B176" s="20"/>
      <c r="C176" s="20" t="s">
        <v>362</v>
      </c>
      <c r="D176" s="20"/>
      <c r="E176" s="20"/>
      <c r="F176" s="20"/>
      <c r="G176" s="20"/>
      <c r="H176" s="20"/>
      <c r="I176" s="20"/>
      <c r="J176" s="20"/>
      <c r="K176" s="5"/>
      <c r="L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Height="1" spans="1:26">
      <c r="A177" s="5"/>
      <c r="B177" s="20"/>
      <c r="C177" s="17" t="s">
        <v>694</v>
      </c>
      <c r="D177" s="20"/>
      <c r="E177" s="20"/>
      <c r="F177" s="20"/>
      <c r="G177" s="20"/>
      <c r="H177" s="20"/>
      <c r="I177" s="20"/>
      <c r="J177" s="20"/>
      <c r="K177" s="5"/>
      <c r="L177" s="5"/>
      <c r="N177" s="1" t="s">
        <v>132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Height="1" spans="1:26">
      <c r="A178" s="5"/>
      <c r="B178" s="20" t="s">
        <v>173</v>
      </c>
      <c r="C178" s="20"/>
      <c r="D178" s="20"/>
      <c r="E178" s="20"/>
      <c r="F178" s="20"/>
      <c r="G178" s="20"/>
      <c r="H178" s="20"/>
      <c r="I178" s="20"/>
      <c r="J178" s="20"/>
      <c r="K178" s="5"/>
      <c r="L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Height="1" spans="1:26">
      <c r="A179" s="5"/>
      <c r="B179" s="17" t="s">
        <v>695</v>
      </c>
      <c r="C179" s="20"/>
      <c r="D179" s="20"/>
      <c r="E179" s="20"/>
      <c r="F179" s="20"/>
      <c r="G179" s="20"/>
      <c r="H179" s="20"/>
      <c r="I179" s="20"/>
      <c r="J179" s="20"/>
      <c r="K179" s="5"/>
      <c r="L179" s="5"/>
      <c r="N179" s="1" t="s">
        <v>224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Height="1" spans="1:26">
      <c r="A180" s="5"/>
      <c r="B180" s="17" t="s">
        <v>696</v>
      </c>
      <c r="C180" s="20"/>
      <c r="D180" s="20"/>
      <c r="E180" s="20"/>
      <c r="F180" s="20"/>
      <c r="G180" s="20"/>
      <c r="H180" s="20"/>
      <c r="I180" s="20"/>
      <c r="J180" s="20"/>
      <c r="K180" s="5"/>
      <c r="L180" s="5"/>
      <c r="N180" s="1" t="s">
        <v>197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Height="1" spans="1:26">
      <c r="A181" s="5"/>
      <c r="B181" s="16" t="s">
        <v>697</v>
      </c>
      <c r="C181" s="20"/>
      <c r="D181" s="20"/>
      <c r="E181" s="20"/>
      <c r="F181" s="20"/>
      <c r="G181" s="20"/>
      <c r="H181" s="20"/>
      <c r="I181" s="20"/>
      <c r="J181" s="20"/>
      <c r="K181" s="5"/>
      <c r="L181" s="5"/>
      <c r="N181" s="1" t="s">
        <v>197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Height="1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Height="1" spans="1:26">
      <c r="A183" s="5"/>
      <c r="B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Height="1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Height="1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Height="1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Height="1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Height="1" spans="1:26">
      <c r="A188" s="5"/>
      <c r="B188" s="16" t="s">
        <v>682</v>
      </c>
      <c r="C188" s="20"/>
      <c r="D188" s="20"/>
      <c r="E188" s="20"/>
      <c r="F188" s="20"/>
      <c r="G188" s="5"/>
      <c r="H188" s="20"/>
      <c r="I188" s="20"/>
      <c r="J188" s="20"/>
      <c r="K188" s="5"/>
      <c r="L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Height="1" spans="1:26">
      <c r="A189" s="5"/>
      <c r="B189" s="17" t="s">
        <v>683</v>
      </c>
      <c r="C189" s="20"/>
      <c r="D189" s="20"/>
      <c r="E189" s="20"/>
      <c r="F189" s="20"/>
      <c r="G189" s="5"/>
      <c r="H189" s="20"/>
      <c r="I189" s="20"/>
      <c r="J189" s="20"/>
      <c r="K189" s="5"/>
      <c r="L189" s="5"/>
      <c r="N189" s="1" t="s">
        <v>265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Height="1" spans="1:26">
      <c r="A190" s="5"/>
      <c r="B190" s="20" t="s">
        <v>312</v>
      </c>
      <c r="C190" s="20"/>
      <c r="D190" s="20"/>
      <c r="E190" s="20"/>
      <c r="F190" s="20"/>
      <c r="G190" s="5"/>
      <c r="H190" s="20"/>
      <c r="I190" s="20"/>
      <c r="J190" s="20"/>
      <c r="K190" s="5"/>
      <c r="L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Height="1" spans="1:26">
      <c r="A191" s="5"/>
      <c r="B191" s="17" t="s">
        <v>684</v>
      </c>
      <c r="C191" s="20"/>
      <c r="D191" s="20"/>
      <c r="E191" s="20"/>
      <c r="F191" s="20"/>
      <c r="G191" s="5"/>
      <c r="H191" s="20"/>
      <c r="I191" s="20"/>
      <c r="J191" s="20"/>
      <c r="K191" s="5"/>
      <c r="L191" s="5"/>
      <c r="N191" s="1" t="s">
        <v>132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Height="1" spans="1:26">
      <c r="A192" s="5"/>
      <c r="B192" s="20" t="s">
        <v>685</v>
      </c>
      <c r="C192" s="20"/>
      <c r="D192" s="20"/>
      <c r="E192" s="20"/>
      <c r="F192" s="20"/>
      <c r="G192" s="5"/>
      <c r="H192" s="20"/>
      <c r="I192" s="20"/>
      <c r="J192" s="20"/>
      <c r="K192" s="5"/>
      <c r="L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Height="1" spans="1:26">
      <c r="A193" s="5"/>
      <c r="B193" s="17" t="s">
        <v>686</v>
      </c>
      <c r="C193" s="20"/>
      <c r="D193" s="20"/>
      <c r="E193" s="20"/>
      <c r="F193" s="20"/>
      <c r="G193" s="20"/>
      <c r="H193" s="20"/>
      <c r="I193" s="20"/>
      <c r="J193" s="20"/>
      <c r="K193" s="5"/>
      <c r="L193" s="5"/>
      <c r="N193" s="1" t="s">
        <v>132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Height="1" spans="1:26">
      <c r="A194" s="5"/>
      <c r="B194" s="20" t="s">
        <v>687</v>
      </c>
      <c r="C194" s="20"/>
      <c r="D194" s="20"/>
      <c r="E194" s="20"/>
      <c r="F194" s="20"/>
      <c r="G194" s="20"/>
      <c r="H194" s="20"/>
      <c r="I194" s="20"/>
      <c r="J194" s="20"/>
      <c r="K194" s="5"/>
      <c r="L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Height="1" spans="1:26">
      <c r="A195" s="5"/>
      <c r="B195" s="20"/>
      <c r="C195" s="17" t="s">
        <v>688</v>
      </c>
      <c r="D195" s="20"/>
      <c r="E195" s="20"/>
      <c r="F195" s="20"/>
      <c r="G195" s="20"/>
      <c r="H195" s="20"/>
      <c r="I195" s="20"/>
      <c r="J195" s="20"/>
      <c r="K195" s="5"/>
      <c r="L195" s="5"/>
      <c r="N195" s="1" t="s">
        <v>652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Height="1" spans="1:26">
      <c r="A196" s="5"/>
      <c r="B196" s="20"/>
      <c r="C196" s="20" t="s">
        <v>689</v>
      </c>
      <c r="D196" s="20"/>
      <c r="E196" s="20"/>
      <c r="F196" s="20"/>
      <c r="G196" s="20"/>
      <c r="H196" s="20"/>
      <c r="I196" s="20"/>
      <c r="J196" s="20"/>
      <c r="K196" s="5"/>
      <c r="L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Height="1" spans="1:26">
      <c r="A197" s="5"/>
      <c r="D197" s="17" t="s">
        <v>690</v>
      </c>
      <c r="N197" s="1" t="s">
        <v>655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Height="1" spans="1:26">
      <c r="A198" s="5"/>
      <c r="B198" s="20"/>
      <c r="C198" s="20"/>
      <c r="D198" s="17" t="s">
        <v>691</v>
      </c>
      <c r="E198" s="20"/>
      <c r="F198" s="20"/>
      <c r="G198" s="20"/>
      <c r="H198" s="20"/>
      <c r="I198" s="20"/>
      <c r="J198" s="20"/>
      <c r="K198" s="5"/>
      <c r="L198" s="5"/>
      <c r="N198" s="1" t="s">
        <v>265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Height="1" spans="1:26">
      <c r="A199" s="5"/>
      <c r="B199" s="20"/>
      <c r="C199" s="20"/>
      <c r="D199" s="20" t="s">
        <v>325</v>
      </c>
      <c r="E199" s="20"/>
      <c r="F199" s="20"/>
      <c r="G199" s="20"/>
      <c r="H199" s="20"/>
      <c r="I199" s="20"/>
      <c r="J199" s="20"/>
      <c r="K199" s="5"/>
      <c r="L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Height="1" spans="1:26">
      <c r="A200" s="5"/>
      <c r="B200" s="20"/>
      <c r="C200" s="20"/>
      <c r="D200" s="17" t="s">
        <v>692</v>
      </c>
      <c r="E200" s="20"/>
      <c r="F200" s="20"/>
      <c r="G200" s="20"/>
      <c r="H200" s="20"/>
      <c r="I200" s="20"/>
      <c r="J200" s="20"/>
      <c r="K200" s="5"/>
      <c r="L200" s="5"/>
      <c r="N200" s="1" t="s">
        <v>132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Height="1" spans="1:26">
      <c r="A201" s="5"/>
      <c r="B201" s="20"/>
      <c r="C201" s="20" t="s">
        <v>173</v>
      </c>
      <c r="D201" s="20"/>
      <c r="E201" s="20"/>
      <c r="F201" s="20"/>
      <c r="G201" s="20"/>
      <c r="H201" s="20"/>
      <c r="I201" s="20"/>
      <c r="J201" s="20"/>
      <c r="K201" s="5"/>
      <c r="L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Height="1" spans="1:26">
      <c r="A202" s="5"/>
      <c r="B202" s="20"/>
      <c r="C202" s="21" t="s">
        <v>255</v>
      </c>
      <c r="D202" s="20"/>
      <c r="E202" s="20"/>
      <c r="F202" s="20"/>
      <c r="G202" s="20"/>
      <c r="H202" s="20"/>
      <c r="I202" s="20"/>
      <c r="J202" s="20"/>
      <c r="K202" s="5"/>
      <c r="L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Height="1" spans="1:26">
      <c r="A203" s="5"/>
      <c r="B203" s="20"/>
      <c r="C203" s="17"/>
      <c r="D203" s="17" t="s">
        <v>693</v>
      </c>
      <c r="E203" s="20"/>
      <c r="F203" s="20"/>
      <c r="G203" s="20"/>
      <c r="H203" s="20"/>
      <c r="I203" s="20"/>
      <c r="J203" s="20"/>
      <c r="K203" s="5"/>
      <c r="L203" s="5"/>
      <c r="N203" s="1" t="s">
        <v>655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Height="1" spans="1:26">
      <c r="A204" s="5"/>
      <c r="B204" s="20"/>
      <c r="C204" s="17"/>
      <c r="D204" s="17" t="s">
        <v>692</v>
      </c>
      <c r="E204" s="20"/>
      <c r="F204" s="20"/>
      <c r="G204" s="20"/>
      <c r="H204" s="20"/>
      <c r="I204" s="20"/>
      <c r="J204" s="20"/>
      <c r="K204" s="5"/>
      <c r="L204" s="5"/>
      <c r="N204" s="1" t="s">
        <v>265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Height="1" spans="1:26">
      <c r="A205" s="5"/>
      <c r="B205" s="20"/>
      <c r="C205" s="21" t="s">
        <v>173</v>
      </c>
      <c r="D205" s="20"/>
      <c r="E205" s="20"/>
      <c r="F205" s="20"/>
      <c r="G205" s="20"/>
      <c r="H205" s="20"/>
      <c r="I205" s="20"/>
      <c r="J205" s="20"/>
      <c r="K205" s="5"/>
      <c r="L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Height="1" spans="1:26">
      <c r="A206" s="5"/>
      <c r="B206" s="20"/>
      <c r="C206" s="17" t="s">
        <v>692</v>
      </c>
      <c r="D206" s="20"/>
      <c r="E206" s="20"/>
      <c r="F206" s="20"/>
      <c r="G206" s="20"/>
      <c r="H206" s="20"/>
      <c r="I206" s="20"/>
      <c r="J206" s="20"/>
      <c r="K206" s="5"/>
      <c r="L206" s="5"/>
      <c r="N206" s="1" t="s">
        <v>655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Height="1" spans="1:26">
      <c r="A207" s="5"/>
      <c r="B207" s="20"/>
      <c r="C207" s="20" t="s">
        <v>362</v>
      </c>
      <c r="D207" s="20"/>
      <c r="E207" s="20"/>
      <c r="F207" s="20"/>
      <c r="G207" s="20"/>
      <c r="H207" s="20"/>
      <c r="I207" s="20"/>
      <c r="J207" s="20"/>
      <c r="K207" s="5"/>
      <c r="L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Height="1" spans="1:26">
      <c r="A208" s="5"/>
      <c r="B208" s="20"/>
      <c r="C208" s="17" t="s">
        <v>694</v>
      </c>
      <c r="D208" s="20"/>
      <c r="E208" s="20"/>
      <c r="F208" s="20"/>
      <c r="G208" s="20"/>
      <c r="H208" s="20"/>
      <c r="I208" s="20"/>
      <c r="J208" s="20"/>
      <c r="K208" s="5"/>
      <c r="L208" s="5"/>
      <c r="N208" s="1" t="s">
        <v>132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Height="1" spans="1:26">
      <c r="A209" s="5"/>
      <c r="B209" s="20" t="s">
        <v>173</v>
      </c>
      <c r="C209" s="20"/>
      <c r="D209" s="20"/>
      <c r="E209" s="20"/>
      <c r="F209" s="20"/>
      <c r="G209" s="20"/>
      <c r="H209" s="20"/>
      <c r="I209" s="20"/>
      <c r="J209" s="20"/>
      <c r="K209" s="5"/>
      <c r="L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Height="1" spans="1:26">
      <c r="A210" s="5"/>
      <c r="B210" s="17" t="s">
        <v>695</v>
      </c>
      <c r="C210" s="20"/>
      <c r="D210" s="20"/>
      <c r="E210" s="20"/>
      <c r="F210" s="20"/>
      <c r="G210" s="20"/>
      <c r="H210" s="20"/>
      <c r="I210" s="20"/>
      <c r="J210" s="20"/>
      <c r="K210" s="5"/>
      <c r="L210" s="5"/>
      <c r="N210" s="1" t="s">
        <v>224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Height="1" spans="1:26">
      <c r="A211" s="5"/>
      <c r="B211" s="17" t="s">
        <v>696</v>
      </c>
      <c r="C211" s="20"/>
      <c r="D211" s="20"/>
      <c r="E211" s="20"/>
      <c r="F211" s="20"/>
      <c r="G211" s="20"/>
      <c r="H211" s="20"/>
      <c r="I211" s="20"/>
      <c r="J211" s="20"/>
      <c r="K211" s="5"/>
      <c r="L211" s="5"/>
      <c r="N211" s="1" t="s">
        <v>197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Height="1" spans="1:26">
      <c r="A212" s="5"/>
      <c r="B212" s="16" t="s">
        <v>697</v>
      </c>
      <c r="C212" s="20"/>
      <c r="D212" s="20"/>
      <c r="E212" s="20"/>
      <c r="F212" s="20"/>
      <c r="G212" s="20"/>
      <c r="H212" s="20"/>
      <c r="I212" s="20"/>
      <c r="J212" s="20"/>
      <c r="K212" s="5"/>
      <c r="L212" s="5"/>
      <c r="N212" s="1" t="s">
        <v>197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Height="1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Height="1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Height="1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Height="1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Height="1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Height="1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Height="1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Height="1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Height="1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Height="1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Height="1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Height="1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Height="1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Height="1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Height="1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Height="1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Height="1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Height="1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Height="1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Height="1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Height="1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Height="1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Height="1" spans="1:2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Height="1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Height="1" spans="1:2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Height="1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Height="1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Height="1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Height="1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Height="1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Height="1" spans="1:2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Height="1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Height="1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Height="1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Height="1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Height="1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Height="1" spans="1:2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Height="1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Height="1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Height="1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Height="1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Height="1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Height="1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Height="1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Height="1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Height="1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Height="1" spans="1:2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Height="1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Height="1" spans="1:2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Height="1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Height="1" spans="1:2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Height="1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Height="1" spans="1:2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Height="1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Height="1" spans="1:2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Height="1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Height="1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Height="1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Height="1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Height="1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Height="1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Height="1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Height="1" spans="1:2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Height="1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Height="1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Height="1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Height="1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Height="1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Height="1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Height="1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Height="1" spans="1:2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Height="1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Height="1" spans="1:2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Height="1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Height="1" spans="1:2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Height="1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Height="1" spans="1:2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Height="1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Height="1" spans="1:2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Height="1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Height="1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Height="1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Height="1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Height="1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Height="1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Height="1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Height="1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Height="1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Height="1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Height="1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Height="1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Height="1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Height="1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Height="1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Height="1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Height="1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Height="1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Height="1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Height="1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Height="1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Height="1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Height="1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Height="1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Height="1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Height="1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Height="1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Height="1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Height="1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Height="1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Height="1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Height="1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Height="1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Height="1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Height="1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Height="1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Height="1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Height="1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Height="1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Height="1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Height="1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Height="1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Height="1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Height="1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Height="1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Height="1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Height="1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Height="1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Height="1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Height="1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Height="1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Height="1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Height="1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Height="1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Height="1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Height="1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Height="1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Height="1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Height="1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Height="1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Height="1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Height="1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Height="1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Height="1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Height="1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Height="1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Height="1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Height="1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Height="1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Height="1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Height="1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Height="1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Height="1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Height="1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Height="1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Height="1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Height="1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Height="1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Height="1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Height="1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Height="1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Height="1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Height="1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Height="1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Height="1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Height="1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Height="1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Height="1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Height="1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Height="1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Height="1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Height="1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Height="1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Height="1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Height="1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Height="1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Height="1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Height="1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Height="1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Height="1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Height="1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Height="1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Height="1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Height="1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Height="1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Height="1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Height="1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Height="1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Height="1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Height="1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Height="1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Height="1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Height="1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Height="1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Height="1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Height="1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Height="1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Height="1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Height="1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Height="1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Height="1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Height="1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Height="1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Height="1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Height="1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Height="1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Height="1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Height="1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Height="1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Height="1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Height="1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Height="1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Height="1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Height="1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Height="1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Height="1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Height="1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Height="1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Height="1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Height="1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Height="1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Height="1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Height="1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Height="1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Height="1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Height="1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Height="1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Height="1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Height="1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Height="1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Height="1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Height="1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Height="1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Height="1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Height="1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Height="1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Height="1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Height="1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Height="1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Height="1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Height="1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Height="1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Height="1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Height="1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Height="1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Height="1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Height="1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Height="1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Height="1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Height="1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Height="1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Height="1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Height="1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Height="1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Height="1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Height="1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Height="1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Height="1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Height="1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Height="1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Height="1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Height="1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Height="1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Height="1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Height="1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Height="1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Height="1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Height="1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Height="1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Height="1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Height="1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Height="1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Height="1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Height="1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Height="1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Height="1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Height="1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Height="1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Height="1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Height="1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Height="1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Height="1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Height="1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Height="1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Height="1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Height="1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Height="1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Height="1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Height="1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Height="1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Height="1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Height="1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Height="1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Height="1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Height="1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Height="1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Height="1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Height="1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Height="1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Height="1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Height="1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Height="1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Height="1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Height="1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Height="1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Height="1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Height="1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Height="1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Height="1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Height="1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Height="1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Height="1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Height="1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Height="1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Height="1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Height="1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Height="1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Height="1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Height="1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Height="1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Height="1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Height="1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Height="1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Height="1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Height="1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Height="1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Height="1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Height="1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Height="1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Height="1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Height="1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Height="1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Height="1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Height="1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Height="1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Height="1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Height="1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Height="1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Height="1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Height="1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Height="1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Height="1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Height="1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Height="1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Height="1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Height="1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Height="1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Height="1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Height="1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Height="1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Height="1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Height="1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Height="1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Height="1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Height="1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Height="1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Height="1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Height="1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Height="1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Height="1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Height="1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Height="1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Height="1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Height="1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Height="1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Height="1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Height="1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Height="1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Height="1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Height="1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Height="1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Height="1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Height="1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Height="1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Height="1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Height="1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Height="1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Height="1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Height="1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Height="1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Height="1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Height="1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Height="1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Height="1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Height="1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Height="1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Height="1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Height="1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Height="1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Height="1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Height="1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Height="1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Height="1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Height="1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Height="1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Height="1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Height="1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Height="1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Height="1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Height="1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Height="1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Height="1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Height="1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Height="1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Height="1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Height="1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Height="1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Height="1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Height="1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Height="1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Height="1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Height="1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Height="1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Height="1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Height="1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Height="1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Height="1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Height="1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Height="1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Height="1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Height="1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Height="1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Height="1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Height="1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Height="1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Height="1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Height="1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Height="1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Height="1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Height="1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Height="1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Height="1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Height="1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Height="1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Height="1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Height="1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Height="1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Height="1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Height="1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Height="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Height="1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Height="1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Height="1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Height="1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Height="1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Height="1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Height="1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Height="1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Height="1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Height="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Height="1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Height="1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Height="1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Height="1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Height="1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Height="1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Height="1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Height="1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Height="1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Height="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Height="1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Height="1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Height="1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Height="1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Height="1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Height="1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Height="1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Height="1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Height="1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Height="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Height="1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Height="1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Height="1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Height="1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Height="1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Height="1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Height="1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Height="1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Height="1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Height="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Height="1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Height="1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Height="1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Height="1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Height="1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Height="1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Height="1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Height="1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Height="1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Height="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Height="1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Height="1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Height="1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Height="1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Height="1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Height="1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Height="1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Height="1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Height="1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Height="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Height="1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Height="1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Height="1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Height="1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Height="1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Height="1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Height="1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Height="1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Height="1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Height="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Height="1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Height="1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Height="1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Height="1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Height="1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Height="1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Height="1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Height="1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Height="1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Height="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Height="1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Height="1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Height="1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Height="1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Height="1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Height="1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Height="1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Height="1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Height="1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Height="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Height="1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Height="1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Height="1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Height="1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Height="1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Height="1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Height="1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Height="1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Height="1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Height="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Height="1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Height="1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Height="1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Height="1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Height="1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Height="1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Height="1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Height="1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Height="1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Height="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Height="1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Height="1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Height="1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Height="1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Height="1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Height="1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Height="1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Height="1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Height="1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Height="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Height="1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Height="1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Height="1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Height="1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Height="1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Height="1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Height="1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Height="1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Height="1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Height="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Height="1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Height="1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Height="1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Height="1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Height="1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Height="1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Height="1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Height="1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Height="1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Height="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Height="1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Height="1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Height="1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Height="1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Height="1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Height="1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Height="1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Height="1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Height="1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Height="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Height="1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Height="1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Height="1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Height="1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Height="1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Height="1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Height="1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Height="1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Height="1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Height="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Height="1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Height="1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Height="1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Height="1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Height="1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Height="1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Height="1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Height="1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Height="1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Height="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Height="1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Height="1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Height="1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Height="1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Height="1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Height="1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Height="1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Height="1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Height="1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Height="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Height="1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Height="1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Height="1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Height="1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Height="1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Height="1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Height="1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Height="1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Height="1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Height="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Height="1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Height="1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Height="1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Height="1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Height="1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Height="1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Height="1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Height="1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Height="1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Height="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Height="1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Height="1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Height="1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Height="1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Height="1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Height="1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Height="1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Height="1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Height="1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Height="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Height="1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Height="1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Height="1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Height="1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Height="1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Height="1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Height="1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Height="1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Height="1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Height="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Height="1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Height="1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Height="1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Height="1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Height="1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Height="1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Height="1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Height="1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Height="1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Height="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Height="1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Height="1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Height="1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Height="1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Height="1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Height="1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Height="1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Height="1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Height="1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Height="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Height="1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Height="1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Height="1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Height="1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Height="1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Height="1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Height="1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Height="1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Height="1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Height="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Height="1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Height="1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Height="1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Height="1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Height="1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Height="1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Height="1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Height="1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Height="1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Height="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Height="1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Height="1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Height="1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Height="1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Height="1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Height="1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Height="1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Height="1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Height="1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Height="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Height="1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Height="1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Height="1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Height="1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Height="1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Height="1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Height="1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Height="1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Height="1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Height="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Height="1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Height="1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Height="1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Height="1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Height="1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Height="1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Height="1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Height="1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Height="1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Height="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Height="1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Height="1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Height="1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Height="1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Height="1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Height="1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Height="1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Height="1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Height="1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Height="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Height="1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Height="1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Height="1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Height="1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Height="1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Height="1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Height="1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Height="1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Height="1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Height="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Height="1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Height="1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Height="1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Height="1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Height="1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Height="1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Height="1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Height="1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Height="1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Height="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Height="1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Height="1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Height="1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Height="1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Height="1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Height="1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Height="1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Height="1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Height="1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Height="1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Height="1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H1037"/>
  <sheetViews>
    <sheetView workbookViewId="0">
      <selection activeCell="A1" sqref="A1"/>
    </sheetView>
  </sheetViews>
  <sheetFormatPr defaultColWidth="12.6296296296296" defaultRowHeight="15.75" customHeight="1"/>
  <cols>
    <col min="23" max="23" width="30.1296296296296" customWidth="1"/>
    <col min="27" max="34" width="23" customWidth="1"/>
  </cols>
  <sheetData>
    <row r="1" customHeight="1" spans="1:34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customHeight="1" spans="1:3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customHeight="1" spans="1:3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customHeight="1" spans="1:3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customHeight="1" spans="1:34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customHeight="1" spans="1:34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customHeight="1" spans="1:3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customHeight="1" spans="1:34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customHeight="1" spans="1:34">
      <c r="A9" s="5"/>
      <c r="B9" s="6" t="s">
        <v>103</v>
      </c>
      <c r="C9" s="5"/>
      <c r="D9" s="5"/>
      <c r="E9" s="5"/>
      <c r="F9" s="5"/>
      <c r="G9" s="5"/>
      <c r="H9" s="5"/>
      <c r="I9" s="5"/>
      <c r="J9" s="5"/>
      <c r="K9" s="16" t="s">
        <v>103</v>
      </c>
      <c r="L9" s="5"/>
      <c r="M9" s="5"/>
      <c r="N9" s="5"/>
      <c r="O9" s="5"/>
      <c r="P9" s="5"/>
      <c r="Q9" s="5"/>
      <c r="R9" s="5"/>
      <c r="S9" s="5"/>
      <c r="T9" s="6" t="s">
        <v>195</v>
      </c>
      <c r="U9" s="5"/>
      <c r="V9" s="5"/>
      <c r="W9" s="5"/>
      <c r="X9" s="5"/>
      <c r="Y9" s="5"/>
      <c r="Z9" s="5"/>
      <c r="AA9" s="6" t="s">
        <v>195</v>
      </c>
      <c r="AB9" s="5"/>
      <c r="AC9" s="5"/>
      <c r="AD9" s="5"/>
      <c r="AE9" s="5"/>
      <c r="AF9" s="5"/>
      <c r="AG9" s="5"/>
      <c r="AH9" s="5"/>
    </row>
    <row r="10" customHeight="1" spans="1:34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customHeight="1" spans="1:33">
      <c r="A11" s="5"/>
      <c r="B11" s="5"/>
      <c r="C11" s="5"/>
      <c r="D11" s="5"/>
      <c r="E11" s="5"/>
      <c r="F11" s="5"/>
      <c r="G11" s="5"/>
      <c r="H11" s="5"/>
      <c r="I11" s="5"/>
      <c r="J11" s="5"/>
      <c r="K11" s="1" t="s">
        <v>503</v>
      </c>
      <c r="L11" s="5"/>
      <c r="M11" s="5"/>
      <c r="N11" s="5"/>
      <c r="O11" s="5"/>
      <c r="P11" s="5"/>
      <c r="Q11" s="5"/>
      <c r="R11" s="5"/>
      <c r="S11" s="5"/>
      <c r="T11" s="7" t="s">
        <v>282</v>
      </c>
      <c r="U11" s="5"/>
      <c r="V11" s="5"/>
      <c r="W11" s="5"/>
      <c r="X11" s="1" t="s">
        <v>197</v>
      </c>
      <c r="Y11" s="5"/>
      <c r="Z11" s="5"/>
      <c r="AA11" s="7" t="s">
        <v>282</v>
      </c>
      <c r="AB11" s="5"/>
      <c r="AC11" s="5"/>
      <c r="AD11" s="5"/>
      <c r="AG11" s="1" t="s">
        <v>197</v>
      </c>
    </row>
    <row r="12" customHeight="1" spans="1:34">
      <c r="A12" s="5"/>
      <c r="B12" s="7" t="s">
        <v>334</v>
      </c>
      <c r="C12" s="5"/>
      <c r="D12" s="5"/>
      <c r="E12" s="5"/>
      <c r="F12" s="1" t="s">
        <v>197</v>
      </c>
      <c r="G12" s="5"/>
      <c r="H12" s="5"/>
      <c r="I12" s="5"/>
      <c r="J12" s="5"/>
      <c r="L12" s="17" t="s">
        <v>504</v>
      </c>
      <c r="M12" s="5"/>
      <c r="N12" s="5"/>
      <c r="O12" s="1" t="s">
        <v>273</v>
      </c>
      <c r="P12" s="5"/>
      <c r="Q12" s="5"/>
      <c r="R12" s="5"/>
      <c r="S12" s="5"/>
      <c r="T12" s="1" t="s">
        <v>516</v>
      </c>
      <c r="U12" s="5"/>
      <c r="V12" s="5"/>
      <c r="W12" s="5"/>
      <c r="X12" s="5"/>
      <c r="Y12" s="5"/>
      <c r="Z12" s="5"/>
      <c r="AA12" s="1" t="s">
        <v>516</v>
      </c>
      <c r="AB12" s="5"/>
      <c r="AC12" s="5"/>
      <c r="AD12" s="5"/>
      <c r="AF12" s="5"/>
      <c r="AG12" s="5"/>
      <c r="AH12" s="5"/>
    </row>
    <row r="13" customHeight="1" spans="1:33">
      <c r="A13" s="5"/>
      <c r="B13" s="1" t="s">
        <v>151</v>
      </c>
      <c r="C13" s="5"/>
      <c r="D13" s="5"/>
      <c r="E13" s="5"/>
      <c r="F13" s="5"/>
      <c r="G13" s="5"/>
      <c r="H13" s="5"/>
      <c r="I13" s="5"/>
      <c r="J13" s="5"/>
      <c r="K13" s="5"/>
      <c r="L13" s="17" t="s">
        <v>505</v>
      </c>
      <c r="M13" s="5"/>
      <c r="N13" s="5"/>
      <c r="O13" s="1" t="s">
        <v>197</v>
      </c>
      <c r="P13" s="5"/>
      <c r="Q13" s="5"/>
      <c r="R13" s="5"/>
      <c r="S13" s="5"/>
      <c r="T13" s="7" t="s">
        <v>286</v>
      </c>
      <c r="U13" s="5"/>
      <c r="V13" s="5"/>
      <c r="W13" s="5"/>
      <c r="X13" s="1" t="s">
        <v>202</v>
      </c>
      <c r="Y13" s="5"/>
      <c r="Z13" s="5"/>
      <c r="AA13" s="7" t="s">
        <v>286</v>
      </c>
      <c r="AB13" s="5"/>
      <c r="AC13" s="5"/>
      <c r="AD13" s="5"/>
      <c r="AG13" s="1" t="s">
        <v>202</v>
      </c>
    </row>
    <row r="14" customHeight="1" spans="1:33">
      <c r="A14" s="5"/>
      <c r="B14" s="7" t="s">
        <v>150</v>
      </c>
      <c r="C14" s="5"/>
      <c r="D14" s="5"/>
      <c r="E14" s="5"/>
      <c r="F14" s="1" t="s">
        <v>202</v>
      </c>
      <c r="G14" s="5"/>
      <c r="H14" s="5"/>
      <c r="I14" s="5"/>
      <c r="J14" s="5"/>
      <c r="L14" s="1" t="s">
        <v>506</v>
      </c>
      <c r="O14" s="5"/>
      <c r="P14" s="5"/>
      <c r="Q14" s="5"/>
      <c r="R14" s="5"/>
      <c r="S14" s="5"/>
      <c r="T14" s="1" t="s">
        <v>99</v>
      </c>
      <c r="U14" s="5"/>
      <c r="V14" s="5"/>
      <c r="W14" s="5"/>
      <c r="X14" s="5"/>
      <c r="Y14" s="5"/>
      <c r="Z14" s="5"/>
      <c r="AA14" s="1" t="s">
        <v>99</v>
      </c>
      <c r="AB14" s="5"/>
      <c r="AC14" s="5"/>
      <c r="AD14" s="5"/>
      <c r="AG14" s="5"/>
    </row>
    <row r="15" customHeight="1" spans="1:33">
      <c r="A15" s="5"/>
      <c r="B15" s="1" t="s">
        <v>154</v>
      </c>
      <c r="C15" s="5"/>
      <c r="D15" s="5"/>
      <c r="E15" s="5"/>
      <c r="F15" s="5"/>
      <c r="G15" s="5"/>
      <c r="H15" s="5"/>
      <c r="I15" s="5"/>
      <c r="J15" s="5"/>
      <c r="L15" s="17" t="s">
        <v>507</v>
      </c>
      <c r="M15" s="5"/>
      <c r="N15" s="5"/>
      <c r="O15" s="1" t="s">
        <v>202</v>
      </c>
      <c r="P15" s="5"/>
      <c r="Q15" s="5"/>
      <c r="R15" s="5"/>
      <c r="S15" s="5"/>
      <c r="T15" s="7" t="s">
        <v>220</v>
      </c>
      <c r="U15" s="5"/>
      <c r="V15" s="5"/>
      <c r="W15" s="5"/>
      <c r="X15" s="1" t="s">
        <v>202</v>
      </c>
      <c r="Y15" s="5"/>
      <c r="Z15" s="5"/>
      <c r="AA15" s="7" t="s">
        <v>698</v>
      </c>
      <c r="AB15" s="5"/>
      <c r="AC15" s="5"/>
      <c r="AD15" s="5"/>
      <c r="AG15" s="1" t="s">
        <v>202</v>
      </c>
    </row>
    <row r="16" customHeight="1" spans="1:33">
      <c r="A16" s="5"/>
      <c r="B16" s="7" t="s">
        <v>157</v>
      </c>
      <c r="D16" s="5"/>
      <c r="E16" s="5"/>
      <c r="F16" s="1" t="s">
        <v>202</v>
      </c>
      <c r="G16" s="5"/>
      <c r="H16" s="5"/>
      <c r="I16" s="5"/>
      <c r="J16" s="5"/>
      <c r="K16" s="1" t="s">
        <v>173</v>
      </c>
      <c r="L16" s="5"/>
      <c r="M16" s="5"/>
      <c r="N16" s="5"/>
      <c r="O16" s="5"/>
      <c r="P16" s="5"/>
      <c r="Q16" s="5"/>
      <c r="R16" s="5"/>
      <c r="S16" s="5"/>
      <c r="T16" s="1" t="s">
        <v>699</v>
      </c>
      <c r="U16" s="5"/>
      <c r="V16" s="5"/>
      <c r="W16" s="5"/>
      <c r="X16" s="5"/>
      <c r="Y16" s="5"/>
      <c r="Z16" s="5"/>
      <c r="AA16" s="1" t="s">
        <v>519</v>
      </c>
      <c r="AB16" s="5"/>
      <c r="AC16" s="5"/>
      <c r="AD16" s="5"/>
      <c r="AG16" s="5"/>
    </row>
    <row r="17" customHeight="1" spans="1:33">
      <c r="A17" s="5"/>
      <c r="B17" s="1" t="s">
        <v>438</v>
      </c>
      <c r="C17" s="5"/>
      <c r="D17" s="5"/>
      <c r="E17" s="5"/>
      <c r="F17" s="5"/>
      <c r="G17" s="5"/>
      <c r="H17" s="5"/>
      <c r="I17" s="5"/>
      <c r="J17" s="5"/>
      <c r="K17" s="1" t="s">
        <v>255</v>
      </c>
      <c r="M17" s="5"/>
      <c r="N17" s="5"/>
      <c r="O17" s="5"/>
      <c r="P17" s="5"/>
      <c r="Q17" s="5"/>
      <c r="R17" s="5"/>
      <c r="S17" s="5"/>
      <c r="T17" s="5"/>
      <c r="U17" s="7" t="s">
        <v>700</v>
      </c>
      <c r="V17" s="7"/>
      <c r="W17" s="7"/>
      <c r="X17" s="1" t="s">
        <v>701</v>
      </c>
      <c r="Y17" s="5"/>
      <c r="Z17" s="5"/>
      <c r="AA17" s="5"/>
      <c r="AB17" s="7" t="s">
        <v>702</v>
      </c>
      <c r="AC17" s="7"/>
      <c r="AD17" s="7"/>
      <c r="AG17" s="1" t="s">
        <v>701</v>
      </c>
    </row>
    <row r="18" customHeight="1" spans="1:33">
      <c r="A18" s="5"/>
      <c r="B18" s="5"/>
      <c r="C18" s="7" t="s">
        <v>508</v>
      </c>
      <c r="D18" s="5"/>
      <c r="E18" s="5"/>
      <c r="F18" s="1" t="s">
        <v>210</v>
      </c>
      <c r="G18" s="5"/>
      <c r="H18" s="5"/>
      <c r="I18" s="5"/>
      <c r="J18" s="5"/>
      <c r="L18" s="17" t="s">
        <v>509</v>
      </c>
      <c r="M18" s="5"/>
      <c r="N18" s="5"/>
      <c r="O18" s="1" t="s">
        <v>273</v>
      </c>
      <c r="P18" s="5"/>
      <c r="Q18" s="5"/>
      <c r="R18" s="5"/>
      <c r="S18" s="5"/>
      <c r="U18" s="5"/>
      <c r="V18" s="5"/>
      <c r="W18" s="5"/>
      <c r="X18" s="5"/>
      <c r="Y18" s="5"/>
      <c r="Z18" s="5"/>
      <c r="AB18" s="5"/>
      <c r="AC18" s="5"/>
      <c r="AD18" s="5"/>
      <c r="AG18" s="5"/>
    </row>
    <row r="19" customHeight="1" spans="1:33">
      <c r="A19" s="5"/>
      <c r="B19" s="5"/>
      <c r="C19" s="7" t="s">
        <v>340</v>
      </c>
      <c r="D19" s="5"/>
      <c r="E19" s="5"/>
      <c r="F19" s="1" t="s">
        <v>197</v>
      </c>
      <c r="G19" s="5"/>
      <c r="H19" s="5"/>
      <c r="I19" s="5"/>
      <c r="J19" s="5"/>
      <c r="K19" s="5"/>
      <c r="L19" s="17" t="s">
        <v>510</v>
      </c>
      <c r="M19" s="5"/>
      <c r="N19" s="5"/>
      <c r="O19" s="1" t="s">
        <v>197</v>
      </c>
      <c r="P19" s="5"/>
      <c r="Q19" s="5"/>
      <c r="R19" s="5"/>
      <c r="S19" s="5"/>
      <c r="U19" s="7" t="s">
        <v>294</v>
      </c>
      <c r="V19" s="7"/>
      <c r="W19" s="7"/>
      <c r="X19" s="1" t="s">
        <v>197</v>
      </c>
      <c r="Y19" s="5"/>
      <c r="Z19" s="5"/>
      <c r="AB19" s="7" t="s">
        <v>703</v>
      </c>
      <c r="AC19" s="7"/>
      <c r="AD19" s="7"/>
      <c r="AG19" s="1" t="s">
        <v>197</v>
      </c>
    </row>
    <row r="20" customHeight="1" spans="1:33">
      <c r="A20" s="5"/>
      <c r="B20" s="5"/>
      <c r="C20" s="1" t="s">
        <v>169</v>
      </c>
      <c r="D20" s="5"/>
      <c r="E20" s="5"/>
      <c r="F20" s="5"/>
      <c r="G20" s="5"/>
      <c r="H20" s="5"/>
      <c r="I20" s="5"/>
      <c r="J20" s="5"/>
      <c r="L20" s="1" t="s">
        <v>511</v>
      </c>
      <c r="M20" s="5"/>
      <c r="N20" s="5"/>
      <c r="O20" s="5"/>
      <c r="P20" s="5"/>
      <c r="Q20" s="5"/>
      <c r="R20" s="5"/>
      <c r="S20" s="5"/>
      <c r="T20" s="5"/>
      <c r="U20" s="1" t="s">
        <v>704</v>
      </c>
      <c r="V20" s="1"/>
      <c r="W20" s="1"/>
      <c r="X20" s="5"/>
      <c r="Y20" s="5"/>
      <c r="Z20" s="5"/>
      <c r="AA20" s="5"/>
      <c r="AB20" s="1" t="s">
        <v>704</v>
      </c>
      <c r="AC20" s="1"/>
      <c r="AD20" s="1"/>
      <c r="AG20" s="5"/>
    </row>
    <row r="21" customHeight="1" spans="1:33">
      <c r="A21" s="5"/>
      <c r="B21" s="5"/>
      <c r="C21" s="7" t="s">
        <v>342</v>
      </c>
      <c r="D21" s="5"/>
      <c r="E21" s="5"/>
      <c r="F21" s="1" t="s">
        <v>202</v>
      </c>
      <c r="G21" s="5"/>
      <c r="H21" s="5"/>
      <c r="I21" s="5"/>
      <c r="J21" s="5"/>
      <c r="L21" s="17" t="s">
        <v>507</v>
      </c>
      <c r="M21" s="5"/>
      <c r="N21" s="5"/>
      <c r="O21" s="1" t="s">
        <v>202</v>
      </c>
      <c r="P21" s="5"/>
      <c r="Q21" s="5"/>
      <c r="R21" s="5"/>
      <c r="S21" s="5"/>
      <c r="T21" s="5"/>
      <c r="U21" s="7" t="s">
        <v>297</v>
      </c>
      <c r="V21" s="7"/>
      <c r="W21" s="7"/>
      <c r="X21" s="1" t="s">
        <v>202</v>
      </c>
      <c r="Y21" s="5"/>
      <c r="Z21" s="5"/>
      <c r="AA21" s="5"/>
      <c r="AB21" s="7" t="s">
        <v>705</v>
      </c>
      <c r="AC21" s="7"/>
      <c r="AD21" s="7"/>
      <c r="AG21" s="1" t="s">
        <v>202</v>
      </c>
    </row>
    <row r="22" customHeight="1" spans="1:33">
      <c r="A22" s="5"/>
      <c r="B22" s="5"/>
      <c r="C22" s="1" t="s">
        <v>441</v>
      </c>
      <c r="D22" s="5"/>
      <c r="E22" s="5"/>
      <c r="F22" s="5"/>
      <c r="G22" s="5"/>
      <c r="H22" s="5"/>
      <c r="I22" s="5"/>
      <c r="J22" s="5"/>
      <c r="K22" s="1" t="s">
        <v>173</v>
      </c>
      <c r="L22" s="5"/>
      <c r="M22" s="5"/>
      <c r="N22" s="5"/>
      <c r="O22" s="5"/>
      <c r="P22" s="5"/>
      <c r="Q22" s="5"/>
      <c r="R22" s="5"/>
      <c r="S22" s="5"/>
      <c r="T22" s="5"/>
      <c r="U22" s="1" t="s">
        <v>523</v>
      </c>
      <c r="V22" s="1"/>
      <c r="W22" s="1"/>
      <c r="X22" s="5"/>
      <c r="Y22" s="5"/>
      <c r="Z22" s="5"/>
      <c r="AA22" s="5"/>
      <c r="AB22" s="1" t="s">
        <v>523</v>
      </c>
      <c r="AC22" s="1"/>
      <c r="AD22" s="1"/>
      <c r="AG22" s="5"/>
    </row>
    <row r="23" customHeight="1" spans="1:33">
      <c r="A23" s="5"/>
      <c r="B23" s="1"/>
      <c r="C23" s="7" t="s">
        <v>157</v>
      </c>
      <c r="D23" s="5"/>
      <c r="E23" s="5"/>
      <c r="F23" s="1" t="s">
        <v>202</v>
      </c>
      <c r="G23" s="5"/>
      <c r="H23" s="5"/>
      <c r="I23" s="5"/>
      <c r="J23" s="5"/>
      <c r="K23" s="16" t="s">
        <v>507</v>
      </c>
      <c r="L23" s="5"/>
      <c r="M23" s="5"/>
      <c r="N23" s="5"/>
      <c r="O23" s="1" t="s">
        <v>273</v>
      </c>
      <c r="P23" s="5"/>
      <c r="Q23" s="5"/>
      <c r="R23" s="5"/>
      <c r="S23" s="5"/>
      <c r="U23" s="7" t="s">
        <v>706</v>
      </c>
      <c r="V23" s="7"/>
      <c r="W23" s="7"/>
      <c r="X23" s="1" t="s">
        <v>202</v>
      </c>
      <c r="Y23" s="5"/>
      <c r="Z23" s="5"/>
      <c r="AB23" s="7" t="s">
        <v>707</v>
      </c>
      <c r="AC23" s="7"/>
      <c r="AD23" s="7"/>
      <c r="AG23" s="1" t="s">
        <v>202</v>
      </c>
    </row>
    <row r="24" customHeight="1" spans="1:33">
      <c r="A24" s="5"/>
      <c r="B24" s="1" t="s">
        <v>173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1" t="s">
        <v>173</v>
      </c>
      <c r="U24" s="5"/>
      <c r="V24" s="5"/>
      <c r="W24" s="5"/>
      <c r="X24" s="5"/>
      <c r="Y24" s="5"/>
      <c r="Z24" s="5"/>
      <c r="AA24" s="1" t="s">
        <v>173</v>
      </c>
      <c r="AB24" s="5"/>
      <c r="AC24" s="5"/>
      <c r="AD24" s="5"/>
      <c r="AG24" s="5"/>
    </row>
    <row r="25" customHeight="1" spans="1:33">
      <c r="A25" s="5"/>
      <c r="B25" s="7" t="s">
        <v>617</v>
      </c>
      <c r="C25" s="5"/>
      <c r="D25" s="5"/>
      <c r="E25" s="5"/>
      <c r="F25" s="1" t="s">
        <v>278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7" t="s">
        <v>301</v>
      </c>
      <c r="U25" s="5"/>
      <c r="V25" s="5"/>
      <c r="W25" s="5"/>
      <c r="X25" s="1" t="s">
        <v>278</v>
      </c>
      <c r="Y25" s="5"/>
      <c r="Z25" s="5"/>
      <c r="AA25" s="7" t="s">
        <v>708</v>
      </c>
      <c r="AB25" s="5"/>
      <c r="AC25" s="5"/>
      <c r="AD25" s="5"/>
      <c r="AG25" s="1" t="s">
        <v>278</v>
      </c>
    </row>
    <row r="26" customHeight="1" spans="1:3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7" t="s">
        <v>226</v>
      </c>
      <c r="U26" s="5"/>
      <c r="V26" s="5"/>
      <c r="W26" s="5"/>
      <c r="X26" s="1" t="s">
        <v>197</v>
      </c>
      <c r="Y26" s="5"/>
      <c r="Z26" s="5"/>
      <c r="AA26" s="7"/>
      <c r="AB26" s="5"/>
      <c r="AC26" s="5"/>
      <c r="AD26" s="5"/>
      <c r="AG26" s="1" t="s">
        <v>197</v>
      </c>
    </row>
    <row r="27" customHeight="1" spans="1:33">
      <c r="A27" s="5"/>
      <c r="B27" s="6" t="s">
        <v>104</v>
      </c>
      <c r="C27" s="5"/>
      <c r="D27" s="5"/>
      <c r="E27" s="5"/>
      <c r="F27" s="1" t="s">
        <v>197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 t="s">
        <v>104</v>
      </c>
      <c r="U27" s="5"/>
      <c r="V27" s="5"/>
      <c r="W27" s="5"/>
      <c r="X27" s="1" t="s">
        <v>197</v>
      </c>
      <c r="Y27" s="5"/>
      <c r="Z27" s="5"/>
      <c r="AA27" s="6" t="s">
        <v>104</v>
      </c>
      <c r="AB27" s="5"/>
      <c r="AC27" s="5"/>
      <c r="AD27" s="5"/>
      <c r="AG27" s="1" t="s">
        <v>197</v>
      </c>
    </row>
    <row r="28" customHeight="1" spans="1:34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customHeight="1" spans="1:34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 customHeight="1" spans="1:34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customHeight="1" spans="1:34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 customHeight="1" spans="1:34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customHeight="1" spans="1:34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 customHeight="1" spans="1: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 customHeight="1" spans="1:34">
      <c r="A35" s="5"/>
      <c r="B35" s="6" t="s">
        <v>369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r="36" customHeight="1" spans="1:34">
      <c r="A36" s="5"/>
      <c r="B36" s="7" t="s">
        <v>709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customHeight="1" spans="1:34">
      <c r="A37" s="5"/>
      <c r="B37" s="1" t="s">
        <v>208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customHeight="1" spans="1:34">
      <c r="A38" s="5"/>
      <c r="B38" s="7" t="s">
        <v>710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customHeight="1" spans="1:34">
      <c r="A39" s="5"/>
      <c r="B39" s="1" t="s">
        <v>711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customHeight="1" spans="1:34">
      <c r="A40" s="5"/>
      <c r="B40" s="7" t="s">
        <v>712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customHeight="1" spans="1:34">
      <c r="A41" s="5"/>
      <c r="B41" s="7" t="s">
        <v>713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 customHeight="1" spans="1:34">
      <c r="A42" s="5"/>
      <c r="B42" s="7" t="s">
        <v>714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 customHeight="1" spans="1:34">
      <c r="A43" s="5"/>
      <c r="B43" s="1" t="s">
        <v>378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 customHeight="1" spans="1:34">
      <c r="A44" s="5"/>
      <c r="C44" s="7" t="s">
        <v>715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customHeight="1" spans="1:34">
      <c r="A45" s="5"/>
      <c r="C45" s="7" t="s">
        <v>716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customHeight="1" spans="1:34">
      <c r="A46" s="5"/>
      <c r="C46" s="1" t="s">
        <v>717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 customHeight="1" spans="1:34">
      <c r="A47" s="5"/>
      <c r="C47" s="7" t="s">
        <v>718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 customHeight="1" spans="1:34">
      <c r="A48" s="5"/>
      <c r="C48" s="1" t="s">
        <v>324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 customHeight="1" spans="1:34">
      <c r="A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 customHeight="1" spans="1:34">
      <c r="A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customHeight="1" spans="1:34">
      <c r="A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customHeight="1" spans="1:34">
      <c r="A52" s="5"/>
      <c r="C52" s="7" t="s">
        <v>719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customHeight="1" spans="1:34">
      <c r="A53" s="5"/>
      <c r="B53" s="1" t="s">
        <v>173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customHeight="1" spans="1:34">
      <c r="A54" s="5"/>
      <c r="B54" s="7" t="s">
        <v>720</v>
      </c>
      <c r="C54" s="1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5" customHeight="1" spans="1:34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 customHeight="1" spans="1:34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</row>
    <row r="57" customHeight="1" spans="1:34">
      <c r="A57" s="5"/>
      <c r="B57" s="6" t="s">
        <v>721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</row>
    <row r="58" customHeight="1" spans="1:34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</row>
    <row r="59" customHeight="1" spans="1:34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</row>
    <row r="60" customHeight="1" spans="1:34">
      <c r="A60" s="5"/>
      <c r="B60" s="6" t="s">
        <v>103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</row>
    <row r="61" customHeight="1" spans="1:34">
      <c r="A61" s="5"/>
      <c r="B61" s="7" t="s">
        <v>722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</row>
    <row r="62" customHeight="1" spans="1:34">
      <c r="A62" s="5"/>
      <c r="B62" s="1" t="s">
        <v>200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1">
        <v>0</v>
      </c>
      <c r="W62" s="1">
        <v>1</v>
      </c>
      <c r="X62" s="1">
        <v>2</v>
      </c>
      <c r="Y62" s="1">
        <v>3</v>
      </c>
      <c r="Z62" s="1">
        <v>4</v>
      </c>
      <c r="AA62" s="1">
        <v>5</v>
      </c>
      <c r="AB62" s="1">
        <v>6</v>
      </c>
      <c r="AC62" s="5"/>
      <c r="AD62" s="5"/>
      <c r="AE62" s="5"/>
      <c r="AF62" s="5"/>
      <c r="AG62" s="5"/>
      <c r="AH62" s="5"/>
    </row>
    <row r="63" customHeight="1" spans="1:34">
      <c r="A63" s="5"/>
      <c r="B63" s="7" t="s">
        <v>723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AC63" s="5"/>
      <c r="AD63" s="5"/>
      <c r="AE63" s="5"/>
      <c r="AF63" s="5"/>
      <c r="AG63" s="5"/>
      <c r="AH63" s="5"/>
    </row>
    <row r="64" customHeight="1" spans="1:34">
      <c r="A64" s="5"/>
      <c r="B64" s="1" t="s">
        <v>204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1" t="s">
        <v>91</v>
      </c>
      <c r="V64" s="1">
        <v>5</v>
      </c>
      <c r="W64" s="1">
        <v>-2</v>
      </c>
      <c r="X64" s="1">
        <v>3</v>
      </c>
      <c r="Y64" s="1">
        <v>-5</v>
      </c>
      <c r="Z64" s="1">
        <v>7</v>
      </c>
      <c r="AA64" s="1">
        <v>2</v>
      </c>
      <c r="AB64" s="1">
        <v>1</v>
      </c>
      <c r="AC64" s="5"/>
      <c r="AD64" s="5"/>
      <c r="AE64" s="5"/>
      <c r="AF64" s="5"/>
      <c r="AG64" s="5"/>
      <c r="AH64" s="5"/>
    </row>
    <row r="65" customHeight="1" spans="1:34">
      <c r="A65" s="5"/>
      <c r="B65" s="7" t="s">
        <v>724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1" t="s">
        <v>230</v>
      </c>
      <c r="V65" s="1">
        <v>5</v>
      </c>
      <c r="W65" s="1">
        <v>-2</v>
      </c>
      <c r="X65" s="1">
        <v>1</v>
      </c>
      <c r="Y65" s="1">
        <v>-5</v>
      </c>
      <c r="Z65" s="1">
        <v>2</v>
      </c>
      <c r="AA65" s="1">
        <v>2</v>
      </c>
      <c r="AB65" s="1">
        <v>1</v>
      </c>
      <c r="AC65" s="5"/>
      <c r="AD65" s="5"/>
      <c r="AE65" s="5"/>
      <c r="AF65" s="5"/>
      <c r="AG65" s="5"/>
      <c r="AH65" s="5"/>
    </row>
    <row r="66" customHeight="1" spans="1:34">
      <c r="A66" s="5"/>
      <c r="B66" s="1" t="s">
        <v>208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1" t="s">
        <v>231</v>
      </c>
      <c r="V66" s="1">
        <v>5</v>
      </c>
      <c r="W66" s="1">
        <v>-2</v>
      </c>
      <c r="X66" s="1">
        <v>-2</v>
      </c>
      <c r="Y66" s="1">
        <v>-5</v>
      </c>
      <c r="Z66" s="1">
        <v>-5</v>
      </c>
      <c r="AA66" s="1">
        <v>-5</v>
      </c>
      <c r="AB66" s="1">
        <v>-5</v>
      </c>
      <c r="AC66" s="5"/>
      <c r="AD66" s="5"/>
      <c r="AE66" s="5"/>
      <c r="AF66" s="5"/>
      <c r="AG66" s="5"/>
      <c r="AH66" s="5"/>
    </row>
    <row r="67" customHeight="1" spans="1:34">
      <c r="A67" s="5"/>
      <c r="B67" s="7" t="s">
        <v>725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 customHeight="1" spans="1:34">
      <c r="A68" s="5"/>
      <c r="B68" s="1" t="s">
        <v>213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 customHeight="1" spans="1:34">
      <c r="A69" s="5"/>
      <c r="B69" s="5"/>
      <c r="C69" s="7" t="s">
        <v>726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</row>
    <row r="70" customHeight="1" spans="1:34">
      <c r="A70" s="5"/>
      <c r="B70" s="5"/>
      <c r="C70" s="7" t="s">
        <v>727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</row>
    <row r="71" customHeight="1" spans="1:34">
      <c r="A71" s="5"/>
      <c r="B71" s="5"/>
      <c r="C71" s="1" t="s">
        <v>219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1" t="s">
        <v>91</v>
      </c>
      <c r="V71" s="1">
        <v>-2</v>
      </c>
      <c r="W71" s="1">
        <v>-3</v>
      </c>
      <c r="X71" s="1">
        <v>-4</v>
      </c>
      <c r="Y71" s="1">
        <v>-2</v>
      </c>
      <c r="Z71" s="1">
        <v>-5</v>
      </c>
      <c r="AA71" s="1">
        <v>-1</v>
      </c>
      <c r="AB71" s="5"/>
      <c r="AC71" s="5"/>
      <c r="AD71" s="5"/>
      <c r="AE71" s="5"/>
      <c r="AF71" s="5"/>
      <c r="AG71" s="5"/>
      <c r="AH71" s="5"/>
    </row>
    <row r="72" customHeight="1" spans="1:34">
      <c r="A72" s="5"/>
      <c r="B72" s="5"/>
      <c r="C72" s="7" t="s">
        <v>728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1" t="s">
        <v>230</v>
      </c>
      <c r="V72" s="1">
        <v>-2</v>
      </c>
      <c r="W72" s="1">
        <v>-5</v>
      </c>
      <c r="X72" s="1">
        <v>-9</v>
      </c>
      <c r="Y72" s="1">
        <v>-11</v>
      </c>
      <c r="Z72" s="1">
        <v>-16</v>
      </c>
      <c r="AA72" s="1">
        <v>-17</v>
      </c>
      <c r="AB72" s="5"/>
      <c r="AC72" s="5"/>
      <c r="AD72" s="5"/>
      <c r="AE72" s="5"/>
      <c r="AF72" s="5"/>
      <c r="AG72" s="5"/>
      <c r="AH72" s="5"/>
    </row>
    <row r="73" customHeight="1" spans="1:34">
      <c r="A73" s="5"/>
      <c r="B73" s="5"/>
      <c r="C73" s="1" t="s">
        <v>222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1" t="s">
        <v>231</v>
      </c>
      <c r="V73" s="1">
        <v>-2</v>
      </c>
      <c r="W73" s="1">
        <v>-5</v>
      </c>
      <c r="X73" s="1">
        <v>-9</v>
      </c>
      <c r="Y73" s="1">
        <v>-11</v>
      </c>
      <c r="Z73" s="1">
        <v>-16</v>
      </c>
      <c r="AA73" s="1">
        <v>-17</v>
      </c>
      <c r="AB73" s="5"/>
      <c r="AC73" s="5"/>
      <c r="AD73" s="5"/>
      <c r="AE73" s="5"/>
      <c r="AF73" s="5"/>
      <c r="AG73" s="5"/>
      <c r="AH73" s="5"/>
    </row>
    <row r="74" customHeight="1" spans="1:34">
      <c r="A74" s="5"/>
      <c r="B74" s="5"/>
      <c r="C74" s="7" t="s">
        <v>729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 customHeight="1" spans="1:34">
      <c r="A75" s="5"/>
      <c r="B75" s="5"/>
      <c r="C75" s="1" t="s">
        <v>227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 customHeight="1" spans="1:34">
      <c r="A76" s="5"/>
      <c r="B76" s="5"/>
      <c r="C76" s="7" t="s">
        <v>725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 customHeight="1" spans="1:34">
      <c r="A77" s="5"/>
      <c r="B77" s="1" t="s">
        <v>173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</row>
    <row r="78" customHeight="1" spans="1:34">
      <c r="A78" s="5"/>
      <c r="B78" s="7" t="s">
        <v>730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 customHeight="1" spans="1:34">
      <c r="A79" s="5"/>
      <c r="B79" s="7" t="s">
        <v>731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 customHeight="1" spans="1:34">
      <c r="A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 customHeight="1" spans="1:34">
      <c r="A81" s="5"/>
      <c r="B81" s="6" t="s">
        <v>732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 customHeight="1" spans="1:3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customHeight="1" spans="1:3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 customHeight="1" spans="1:3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</row>
    <row r="85" customHeight="1" spans="1:3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</row>
    <row r="86" customHeight="1" spans="1:34">
      <c r="A86" s="5"/>
      <c r="B86" s="6" t="s">
        <v>195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6" t="s">
        <v>589</v>
      </c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</row>
    <row r="87" customHeight="1" spans="1:34">
      <c r="A87" s="5"/>
      <c r="B87" s="7" t="s">
        <v>733</v>
      </c>
      <c r="C87" s="5"/>
      <c r="D87" s="5"/>
      <c r="E87" s="7"/>
      <c r="F87" s="5"/>
      <c r="G87" s="5"/>
      <c r="H87" s="5"/>
      <c r="I87" s="5"/>
      <c r="J87" s="5"/>
      <c r="K87" s="5"/>
      <c r="L87" s="1" t="s">
        <v>197</v>
      </c>
      <c r="M87" s="5"/>
      <c r="N87" s="5"/>
      <c r="O87" s="5"/>
      <c r="P87" s="5"/>
      <c r="Q87" s="5"/>
      <c r="R87" s="7" t="s">
        <v>734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</row>
    <row r="88" customHeight="1" spans="1:34">
      <c r="A88" s="5"/>
      <c r="B88" s="1" t="s">
        <v>151</v>
      </c>
      <c r="C88" s="5"/>
      <c r="D88" s="5"/>
      <c r="E88" s="5"/>
      <c r="F88" s="5"/>
      <c r="G88" s="5"/>
      <c r="H88" s="1"/>
      <c r="I88" s="5"/>
      <c r="J88" s="5"/>
      <c r="K88" s="5"/>
      <c r="L88" s="5"/>
      <c r="M88" s="5"/>
      <c r="N88" s="5"/>
      <c r="O88" s="5"/>
      <c r="P88" s="5"/>
      <c r="Q88" s="5"/>
      <c r="R88" s="1" t="s">
        <v>266</v>
      </c>
      <c r="S88" s="5"/>
      <c r="T88" s="5"/>
      <c r="U88" s="5"/>
      <c r="V88" s="5"/>
      <c r="W88" s="5"/>
      <c r="X88" s="1" t="s">
        <v>91</v>
      </c>
      <c r="Y88" s="1" t="s">
        <v>578</v>
      </c>
      <c r="Z88" s="5"/>
      <c r="AA88" s="5"/>
      <c r="AB88" s="5"/>
      <c r="AC88" s="5"/>
      <c r="AD88" s="5"/>
      <c r="AE88" s="5"/>
      <c r="AF88" s="5"/>
      <c r="AG88" s="5"/>
      <c r="AH88" s="5"/>
    </row>
    <row r="89" customHeight="1" spans="1:34">
      <c r="A89" s="5"/>
      <c r="B89" s="7" t="s">
        <v>735</v>
      </c>
      <c r="C89" s="5"/>
      <c r="D89" s="5"/>
      <c r="E89" s="5"/>
      <c r="G89" s="5"/>
      <c r="H89" s="7"/>
      <c r="I89" s="5"/>
      <c r="J89" s="5"/>
      <c r="K89" s="5"/>
      <c r="L89" s="1" t="s">
        <v>202</v>
      </c>
      <c r="M89" s="5"/>
      <c r="N89" s="5"/>
      <c r="O89" s="5"/>
      <c r="P89" s="5"/>
      <c r="Q89" s="5"/>
      <c r="R89" s="7" t="s">
        <v>736</v>
      </c>
      <c r="S89" s="5"/>
      <c r="T89" s="5"/>
      <c r="U89" s="5"/>
      <c r="V89" s="5"/>
      <c r="W89" s="5"/>
      <c r="X89" s="1">
        <v>60</v>
      </c>
      <c r="Y89" s="1">
        <v>48</v>
      </c>
      <c r="Z89" s="5"/>
      <c r="AA89" s="5"/>
      <c r="AB89" s="5"/>
      <c r="AC89" s="5"/>
      <c r="AD89" s="5"/>
      <c r="AE89" s="5"/>
      <c r="AF89" s="5"/>
      <c r="AG89" s="5"/>
      <c r="AH89" s="5"/>
    </row>
    <row r="90" customHeight="1" spans="1:34">
      <c r="A90" s="5"/>
      <c r="B90" s="1" t="s">
        <v>154</v>
      </c>
      <c r="C90" s="5"/>
      <c r="D90" s="5"/>
      <c r="E90" s="5"/>
      <c r="G90" s="5"/>
      <c r="H90" s="1"/>
      <c r="I90" s="5"/>
      <c r="J90" s="5"/>
      <c r="K90" s="5"/>
      <c r="L90" s="5"/>
      <c r="M90" s="5"/>
      <c r="N90" s="5"/>
      <c r="O90" s="5"/>
      <c r="P90" s="5"/>
      <c r="Q90" s="5"/>
      <c r="R90" s="1" t="s">
        <v>268</v>
      </c>
      <c r="S90" s="5"/>
      <c r="T90" s="5"/>
      <c r="U90" s="5"/>
      <c r="V90" s="5"/>
      <c r="W90" s="5"/>
      <c r="X90" s="1">
        <v>12</v>
      </c>
      <c r="Y90" s="1">
        <v>48</v>
      </c>
      <c r="Z90" s="5"/>
      <c r="AA90" s="5"/>
      <c r="AB90" s="5"/>
      <c r="AC90" s="5"/>
      <c r="AD90" s="5"/>
      <c r="AE90" s="5"/>
      <c r="AF90" s="5"/>
      <c r="AG90" s="5"/>
      <c r="AH90" s="5"/>
    </row>
    <row r="91" customHeight="1" spans="1:34">
      <c r="A91" s="5"/>
      <c r="B91" s="7" t="s">
        <v>737</v>
      </c>
      <c r="D91" s="5"/>
      <c r="E91" s="5"/>
      <c r="F91" s="7"/>
      <c r="G91" s="5"/>
      <c r="H91" s="7"/>
      <c r="J91" s="5"/>
      <c r="K91" s="5"/>
      <c r="L91" s="1" t="s">
        <v>202</v>
      </c>
      <c r="M91" s="5"/>
      <c r="N91" s="5"/>
      <c r="O91" s="5"/>
      <c r="P91" s="5"/>
      <c r="Q91" s="5"/>
      <c r="R91" s="7" t="s">
        <v>738</v>
      </c>
      <c r="S91" s="5"/>
      <c r="T91" s="5"/>
      <c r="U91" s="5"/>
      <c r="V91" s="5"/>
      <c r="W91" s="5"/>
      <c r="X91" s="1">
        <v>12</v>
      </c>
      <c r="Y91" s="5">
        <f t="shared" ref="Y91:Y93" si="0">Y90-X90</f>
        <v>36</v>
      </c>
      <c r="Z91" s="5"/>
      <c r="AA91" s="5"/>
      <c r="AB91" s="5"/>
      <c r="AC91" s="5"/>
      <c r="AD91" s="5"/>
      <c r="AE91" s="5"/>
      <c r="AF91" s="5"/>
      <c r="AG91" s="5"/>
      <c r="AH91" s="5"/>
    </row>
    <row r="92" customHeight="1" spans="1:34">
      <c r="A92" s="5"/>
      <c r="B92" s="1" t="s">
        <v>739</v>
      </c>
      <c r="C92" s="5"/>
      <c r="D92" s="5"/>
      <c r="E92" s="5"/>
      <c r="G92" s="5"/>
      <c r="H92" s="1"/>
      <c r="I92" s="5"/>
      <c r="J92" s="5"/>
      <c r="K92" s="5"/>
      <c r="L92" s="5"/>
      <c r="M92" s="5"/>
      <c r="N92" s="5"/>
      <c r="O92" s="5"/>
      <c r="P92" s="5"/>
      <c r="Q92" s="5"/>
      <c r="R92" s="1" t="s">
        <v>581</v>
      </c>
      <c r="S92" s="5"/>
      <c r="T92" s="5"/>
      <c r="U92" s="5"/>
      <c r="V92" s="5"/>
      <c r="W92" s="5"/>
      <c r="X92" s="1">
        <v>12</v>
      </c>
      <c r="Y92" s="5">
        <f t="shared" si="0"/>
        <v>24</v>
      </c>
      <c r="Z92" s="5"/>
      <c r="AA92" s="5"/>
      <c r="AB92" s="5"/>
      <c r="AC92" s="5"/>
      <c r="AD92" s="5"/>
      <c r="AE92" s="5"/>
      <c r="AF92" s="5"/>
      <c r="AG92" s="5"/>
      <c r="AH92" s="5"/>
    </row>
    <row r="93" customHeight="1" spans="1:34">
      <c r="A93" s="5"/>
      <c r="B93" s="5"/>
      <c r="C93" s="7" t="s">
        <v>740</v>
      </c>
      <c r="D93" s="5"/>
      <c r="E93" s="5"/>
      <c r="G93" s="5"/>
      <c r="H93" s="5"/>
      <c r="I93" s="7"/>
      <c r="J93" s="5"/>
      <c r="K93" s="5"/>
      <c r="L93" s="1" t="s">
        <v>210</v>
      </c>
      <c r="M93" s="5"/>
      <c r="N93" s="5"/>
      <c r="O93" s="5"/>
      <c r="P93" s="5"/>
      <c r="Q93" s="5"/>
      <c r="R93" s="5"/>
      <c r="S93" s="7" t="s">
        <v>741</v>
      </c>
      <c r="T93" s="5"/>
      <c r="U93" s="5"/>
      <c r="V93" s="5"/>
      <c r="W93" s="5"/>
      <c r="X93" s="1">
        <v>12</v>
      </c>
      <c r="Y93" s="5">
        <f t="shared" si="0"/>
        <v>12</v>
      </c>
      <c r="Z93" s="5"/>
      <c r="AA93" s="5"/>
      <c r="AB93" s="5"/>
      <c r="AC93" s="5"/>
      <c r="AD93" s="5"/>
      <c r="AE93" s="5"/>
      <c r="AF93" s="5"/>
      <c r="AG93" s="5"/>
      <c r="AH93" s="5"/>
    </row>
    <row r="94" customHeight="1" spans="1:34">
      <c r="A94" s="5"/>
      <c r="B94" s="5"/>
      <c r="C94" s="7" t="s">
        <v>742</v>
      </c>
      <c r="D94" s="5"/>
      <c r="E94" s="5"/>
      <c r="G94" s="5"/>
      <c r="H94" s="5"/>
      <c r="I94" s="7"/>
      <c r="J94" s="5"/>
      <c r="K94" s="5"/>
      <c r="L94" s="1" t="s">
        <v>197</v>
      </c>
      <c r="M94" s="5"/>
      <c r="N94" s="5"/>
      <c r="O94" s="5"/>
      <c r="P94" s="5"/>
      <c r="Q94" s="5"/>
      <c r="R94" s="5"/>
      <c r="S94" s="1" t="s">
        <v>743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 customHeight="1" spans="1:34">
      <c r="A95" s="5"/>
      <c r="B95" s="5"/>
      <c r="C95" s="1" t="s">
        <v>169</v>
      </c>
      <c r="D95" s="5"/>
      <c r="E95" s="5"/>
      <c r="G95" s="5"/>
      <c r="H95" s="5"/>
      <c r="I95" s="1"/>
      <c r="J95" s="5"/>
      <c r="K95" s="5"/>
      <c r="L95" s="5"/>
      <c r="M95" s="5"/>
      <c r="N95" s="5"/>
      <c r="O95" s="5"/>
      <c r="P95" s="5"/>
      <c r="Q95" s="5"/>
      <c r="R95" s="5"/>
      <c r="S95" s="5"/>
      <c r="T95" s="7" t="s">
        <v>744</v>
      </c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  <row r="96" customHeight="1" spans="1:34">
      <c r="A96" s="5"/>
      <c r="B96" s="5"/>
      <c r="C96" s="7" t="s">
        <v>745</v>
      </c>
      <c r="D96" s="5"/>
      <c r="E96" s="5"/>
      <c r="G96" s="5"/>
      <c r="H96" s="5"/>
      <c r="I96" s="7"/>
      <c r="J96" s="5"/>
      <c r="K96" s="5"/>
      <c r="L96" s="1" t="s">
        <v>202</v>
      </c>
      <c r="M96" s="5"/>
      <c r="N96" s="5"/>
      <c r="O96" s="5"/>
      <c r="P96" s="5"/>
      <c r="Q96" s="5"/>
      <c r="R96" s="5"/>
      <c r="S96" s="5"/>
      <c r="T96" s="7" t="s">
        <v>746</v>
      </c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 customHeight="1" spans="1:34">
      <c r="A97" s="5"/>
      <c r="B97" s="5"/>
      <c r="C97" s="1" t="s">
        <v>441</v>
      </c>
      <c r="D97" s="5"/>
      <c r="E97" s="5"/>
      <c r="G97" s="5"/>
      <c r="H97" s="5"/>
      <c r="I97" s="1"/>
      <c r="J97" s="5"/>
      <c r="K97" s="5"/>
      <c r="L97" s="5"/>
      <c r="M97" s="5"/>
      <c r="N97" s="5"/>
      <c r="O97" s="5"/>
      <c r="P97" s="5"/>
      <c r="Q97" s="5"/>
      <c r="R97" s="5"/>
      <c r="S97" s="5"/>
      <c r="T97" s="1" t="s">
        <v>189</v>
      </c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</row>
    <row r="98" customHeight="1" spans="1:34">
      <c r="A98" s="5"/>
      <c r="B98" s="1"/>
      <c r="C98" s="7" t="s">
        <v>747</v>
      </c>
      <c r="D98" s="5"/>
      <c r="E98" s="5"/>
      <c r="G98" s="5"/>
      <c r="H98" s="1"/>
      <c r="I98" s="7"/>
      <c r="J98" s="5"/>
      <c r="K98" s="5"/>
      <c r="L98" s="1" t="s">
        <v>202</v>
      </c>
      <c r="M98" s="5"/>
      <c r="N98" s="5"/>
      <c r="O98" s="5"/>
      <c r="P98" s="5"/>
      <c r="Q98" s="5"/>
      <c r="R98" s="5"/>
      <c r="S98" s="5"/>
      <c r="T98" s="7" t="s">
        <v>738</v>
      </c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</row>
    <row r="99" customHeight="1" spans="1:34">
      <c r="A99" s="5"/>
      <c r="B99" s="1" t="s">
        <v>173</v>
      </c>
      <c r="C99" s="5"/>
      <c r="D99" s="5"/>
      <c r="E99" s="5"/>
      <c r="G99" s="5"/>
      <c r="H99" s="1"/>
      <c r="I99" s="5"/>
      <c r="J99" s="5"/>
      <c r="K99" s="5"/>
      <c r="L99" s="5"/>
      <c r="M99" s="5"/>
      <c r="N99" s="5"/>
      <c r="O99" s="5"/>
      <c r="P99" s="5"/>
      <c r="Q99" s="5"/>
      <c r="R99" s="5"/>
      <c r="S99" s="1" t="s">
        <v>173</v>
      </c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</row>
    <row r="100" customHeight="1" spans="1:34">
      <c r="A100" s="5"/>
      <c r="B100" s="7" t="s">
        <v>617</v>
      </c>
      <c r="C100" s="5"/>
      <c r="D100" s="5"/>
      <c r="E100" s="5"/>
      <c r="G100" s="5"/>
      <c r="H100" s="7"/>
      <c r="I100" s="5"/>
      <c r="J100" s="5"/>
      <c r="K100" s="5"/>
      <c r="L100" s="1" t="s">
        <v>366</v>
      </c>
      <c r="M100" s="5"/>
      <c r="N100" s="5"/>
      <c r="O100" s="5"/>
      <c r="P100" s="5"/>
      <c r="Q100" s="5"/>
      <c r="R100" s="5"/>
      <c r="S100" s="1" t="s">
        <v>255</v>
      </c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</row>
    <row r="101" customHeight="1" spans="1:34">
      <c r="A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7" t="s">
        <v>748</v>
      </c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</row>
    <row r="102" customHeight="1" spans="1:34">
      <c r="A102" s="5"/>
      <c r="B102" s="6" t="s">
        <v>104</v>
      </c>
      <c r="C102" s="5"/>
      <c r="D102" s="5"/>
      <c r="E102" s="5"/>
      <c r="F102" s="5"/>
      <c r="G102" s="5"/>
      <c r="H102" s="5"/>
      <c r="I102" s="5"/>
      <c r="J102" s="5"/>
      <c r="K102" s="5"/>
      <c r="L102" s="1" t="s">
        <v>197</v>
      </c>
      <c r="M102" s="5"/>
      <c r="N102" s="5"/>
      <c r="O102" s="5"/>
      <c r="P102" s="5"/>
      <c r="Q102" s="5"/>
      <c r="R102" s="5"/>
      <c r="S102" s="5"/>
      <c r="T102" s="7" t="s">
        <v>749</v>
      </c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</row>
    <row r="103" customHeight="1" spans="1:34">
      <c r="A103" s="5"/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1" t="s">
        <v>182</v>
      </c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</row>
    <row r="104" customHeight="1" spans="1:34">
      <c r="A104" s="5"/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7" t="s">
        <v>738</v>
      </c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 customHeight="1" spans="1:3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1" t="s">
        <v>173</v>
      </c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 customHeight="1" spans="1:3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S106" s="7" t="s">
        <v>738</v>
      </c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 customHeight="1" spans="1:3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1" t="s">
        <v>173</v>
      </c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 customHeight="1" spans="1:3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7" t="s">
        <v>606</v>
      </c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</row>
    <row r="109" customHeight="1" spans="1:3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7" t="s">
        <v>750</v>
      </c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 customHeight="1" spans="1:3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6" t="s">
        <v>588</v>
      </c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 customHeight="1" spans="1:3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 customHeight="1" spans="1:3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</row>
    <row r="113" customHeight="1" spans="1:3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 customHeight="1" spans="1:3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</row>
    <row r="115" customHeight="1" spans="1:3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 customHeight="1" spans="1:3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  <row r="117" customHeight="1" spans="1:3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</row>
    <row r="118" customHeight="1" spans="1:34">
      <c r="A118" s="5"/>
      <c r="B118" s="6" t="s">
        <v>589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</row>
    <row r="119" customHeight="1" spans="1:34">
      <c r="A119" s="5"/>
      <c r="B119" s="7" t="s">
        <v>751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1" t="s">
        <v>265</v>
      </c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 customHeight="1" spans="1:34">
      <c r="A120" s="5"/>
      <c r="B120" s="1" t="s">
        <v>266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</row>
    <row r="121" customHeight="1" spans="1:34">
      <c r="A121" s="5"/>
      <c r="B121" s="7" t="s">
        <v>752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1" t="s">
        <v>132</v>
      </c>
      <c r="R121" s="5"/>
      <c r="T121" s="1" t="s">
        <v>753</v>
      </c>
      <c r="U121" s="5"/>
      <c r="V121" s="5"/>
      <c r="W121" s="5"/>
      <c r="X121" s="1" t="s">
        <v>754</v>
      </c>
      <c r="Y121" s="1" t="s">
        <v>755</v>
      </c>
      <c r="Z121" s="5"/>
      <c r="AA121" s="5"/>
      <c r="AB121" s="5"/>
      <c r="AC121" s="5"/>
      <c r="AD121" s="5"/>
      <c r="AE121" s="5"/>
      <c r="AF121" s="5"/>
      <c r="AG121" s="5"/>
      <c r="AH121" s="5"/>
    </row>
    <row r="122" customHeight="1" spans="1:34">
      <c r="A122" s="5"/>
      <c r="B122" s="1" t="s">
        <v>268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</row>
    <row r="123" customHeight="1" spans="1:34">
      <c r="A123" s="5"/>
      <c r="B123" s="7" t="s">
        <v>756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1" t="s">
        <v>132</v>
      </c>
      <c r="R123" s="5"/>
      <c r="T123" s="1" t="s">
        <v>757</v>
      </c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</row>
    <row r="124" customHeight="1" spans="1:34">
      <c r="A124" s="5"/>
      <c r="B124" s="1" t="s">
        <v>581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1"/>
      <c r="R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</row>
    <row r="125" customHeight="1" spans="1:34">
      <c r="A125" s="5"/>
      <c r="B125" s="5"/>
      <c r="C125" s="7" t="s">
        <v>758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Q125" s="1" t="s">
        <v>652</v>
      </c>
      <c r="T125" s="1" t="s">
        <v>91</v>
      </c>
      <c r="U125" s="1" t="s">
        <v>578</v>
      </c>
      <c r="V125" s="1" t="s">
        <v>592</v>
      </c>
      <c r="W125" s="1" t="s">
        <v>759</v>
      </c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 customHeight="1" spans="1:34">
      <c r="A126" s="5"/>
      <c r="B126" s="5"/>
      <c r="C126" s="1" t="s">
        <v>743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Q126" s="1"/>
      <c r="T126" s="1">
        <v>60</v>
      </c>
      <c r="U126" s="1">
        <v>48</v>
      </c>
      <c r="V126" s="5">
        <f t="shared" ref="V126:V130" si="1">T126-U126</f>
        <v>12</v>
      </c>
      <c r="W126" s="5">
        <f t="shared" ref="W126:W134" si="2">(T126+U126)/12</f>
        <v>9</v>
      </c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 customHeight="1" spans="1:34">
      <c r="A127" s="5"/>
      <c r="B127" s="5"/>
      <c r="C127" s="5"/>
      <c r="D127" s="7" t="s">
        <v>760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Q127" s="1" t="s">
        <v>677</v>
      </c>
      <c r="T127" s="1">
        <v>12</v>
      </c>
      <c r="U127" s="1">
        <v>48</v>
      </c>
      <c r="V127" s="5">
        <f t="shared" si="1"/>
        <v>-36</v>
      </c>
      <c r="W127" s="5">
        <f t="shared" si="2"/>
        <v>5</v>
      </c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</row>
    <row r="128" customHeight="1" spans="1:34">
      <c r="A128" s="5"/>
      <c r="B128" s="5"/>
      <c r="C128" s="5"/>
      <c r="D128" s="7" t="s">
        <v>761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Q128" s="1" t="s">
        <v>265</v>
      </c>
      <c r="T128" s="1">
        <v>12</v>
      </c>
      <c r="U128" s="5">
        <f t="shared" ref="U128:U130" si="3">U127-T127</f>
        <v>36</v>
      </c>
      <c r="V128" s="5">
        <f t="shared" si="1"/>
        <v>-24</v>
      </c>
      <c r="W128" s="5">
        <f t="shared" si="2"/>
        <v>4</v>
      </c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</row>
    <row r="129" customHeight="1" spans="1:34">
      <c r="A129" s="5"/>
      <c r="B129" s="5"/>
      <c r="C129" s="5"/>
      <c r="D129" s="1" t="s">
        <v>189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Q129" s="1"/>
      <c r="T129" s="1">
        <v>12</v>
      </c>
      <c r="U129" s="5">
        <f t="shared" si="3"/>
        <v>24</v>
      </c>
      <c r="V129" s="5">
        <f t="shared" si="1"/>
        <v>-12</v>
      </c>
      <c r="W129" s="5">
        <f t="shared" si="2"/>
        <v>3</v>
      </c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</row>
    <row r="130" customHeight="1" spans="1:34">
      <c r="A130" s="5"/>
      <c r="B130" s="5"/>
      <c r="C130" s="5"/>
      <c r="D130" s="7" t="s">
        <v>762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Q130" s="1" t="s">
        <v>132</v>
      </c>
      <c r="T130" s="1">
        <v>12</v>
      </c>
      <c r="U130" s="5">
        <f t="shared" si="3"/>
        <v>12</v>
      </c>
      <c r="V130" s="5">
        <f t="shared" si="1"/>
        <v>0</v>
      </c>
      <c r="W130" s="5">
        <f t="shared" si="2"/>
        <v>2</v>
      </c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</row>
    <row r="131" customHeight="1" spans="1:34">
      <c r="A131" s="5"/>
      <c r="B131" s="5"/>
      <c r="C131" s="1" t="s">
        <v>173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Q131" s="1"/>
      <c r="T131" s="5"/>
      <c r="U131" s="5"/>
      <c r="V131" s="5"/>
      <c r="W131" s="5">
        <f t="shared" si="2"/>
        <v>0</v>
      </c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</row>
    <row r="132" customHeight="1" spans="1:34">
      <c r="A132" s="5"/>
      <c r="B132" s="5"/>
      <c r="C132" s="1" t="s">
        <v>255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Q132" s="1"/>
      <c r="T132" s="5"/>
      <c r="U132" s="5"/>
      <c r="V132" s="5"/>
      <c r="W132" s="5">
        <f t="shared" si="2"/>
        <v>0</v>
      </c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</row>
    <row r="133" customHeight="1" spans="1:34">
      <c r="A133" s="5"/>
      <c r="B133" s="5"/>
      <c r="C133" s="5"/>
      <c r="D133" s="7" t="s">
        <v>763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Q133" s="1" t="s">
        <v>677</v>
      </c>
      <c r="T133" s="5"/>
      <c r="U133" s="5"/>
      <c r="V133" s="5"/>
      <c r="W133" s="5">
        <f t="shared" si="2"/>
        <v>0</v>
      </c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</row>
    <row r="134" customHeight="1" spans="1:34">
      <c r="A134" s="5"/>
      <c r="B134" s="5"/>
      <c r="C134" s="5"/>
      <c r="D134" s="7" t="s">
        <v>764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Q134" s="1" t="s">
        <v>265</v>
      </c>
      <c r="T134" s="5"/>
      <c r="U134" s="5"/>
      <c r="V134" s="5"/>
      <c r="W134" s="5">
        <f t="shared" si="2"/>
        <v>0</v>
      </c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</row>
    <row r="135" customHeight="1" spans="1:34">
      <c r="A135" s="5"/>
      <c r="B135" s="5"/>
      <c r="C135" s="5"/>
      <c r="D135" s="1" t="s">
        <v>182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1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</row>
    <row r="136" customHeight="1" spans="1:34">
      <c r="A136" s="5"/>
      <c r="B136" s="5"/>
      <c r="C136" s="5"/>
      <c r="D136" s="7" t="s">
        <v>762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1" t="s">
        <v>132</v>
      </c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</row>
    <row r="137" customHeight="1" spans="1:34">
      <c r="A137" s="5"/>
      <c r="B137" s="5"/>
      <c r="C137" s="1" t="s">
        <v>173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1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</row>
    <row r="138" customHeight="1" spans="1:34">
      <c r="A138" s="5"/>
      <c r="C138" s="7" t="s">
        <v>762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1" t="s">
        <v>677</v>
      </c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</row>
    <row r="139" customHeight="1" spans="1:34">
      <c r="A139" s="5"/>
      <c r="B139" s="1" t="s">
        <v>173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1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</row>
    <row r="140" customHeight="1" spans="1:34">
      <c r="A140" s="5"/>
      <c r="B140" s="7" t="s">
        <v>606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1" t="s">
        <v>668</v>
      </c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</row>
    <row r="141" customHeight="1" spans="1:34">
      <c r="A141" s="5"/>
      <c r="B141" s="7" t="s">
        <v>750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1" t="s">
        <v>265</v>
      </c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</row>
    <row r="142" customHeight="1" spans="1:34">
      <c r="A142" s="5"/>
      <c r="B142" s="6" t="s">
        <v>588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1" t="s">
        <v>265</v>
      </c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</row>
    <row r="143" customHeight="1" spans="1:3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</row>
    <row r="144" customHeight="1" spans="1:3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</row>
    <row r="145" customHeight="1" spans="1:3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</row>
    <row r="146" customHeight="1" spans="1:3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</row>
    <row r="147" customHeight="1" spans="1:3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</row>
    <row r="148" customHeight="1" spans="1:3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</row>
    <row r="149" customHeight="1" spans="1:3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</row>
    <row r="150" customHeight="1" spans="1:34">
      <c r="A150" s="5"/>
      <c r="B150" s="6" t="s">
        <v>103</v>
      </c>
      <c r="C150" s="5"/>
      <c r="D150" s="5"/>
      <c r="E150" s="5"/>
      <c r="F150" s="5"/>
      <c r="G150" s="5"/>
      <c r="H150" s="5"/>
      <c r="I150" s="5"/>
      <c r="J150" s="5"/>
      <c r="K150" s="5"/>
      <c r="L150" s="1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</row>
    <row r="151" customHeight="1" spans="1:34">
      <c r="A151" s="5"/>
      <c r="B151" s="7" t="s">
        <v>765</v>
      </c>
      <c r="C151" s="5"/>
      <c r="D151" s="5"/>
      <c r="E151" s="5"/>
      <c r="F151" s="5"/>
      <c r="G151" s="5"/>
      <c r="H151" s="14"/>
      <c r="I151" s="5"/>
      <c r="J151" s="5"/>
      <c r="K151" s="5"/>
      <c r="L151" s="5"/>
      <c r="M151" s="5"/>
      <c r="N151" s="5"/>
      <c r="O151" s="5"/>
      <c r="P151" s="5"/>
      <c r="Q151" s="1" t="s">
        <v>265</v>
      </c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</row>
    <row r="152" customHeight="1" spans="1:34">
      <c r="A152" s="5"/>
      <c r="B152" s="1" t="s">
        <v>766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</row>
    <row r="153" customHeight="1" spans="1:34">
      <c r="A153" s="5"/>
      <c r="B153" s="7" t="s">
        <v>767</v>
      </c>
      <c r="C153" s="5"/>
      <c r="D153" s="5"/>
      <c r="E153" s="5"/>
      <c r="F153" s="5"/>
      <c r="G153" s="5"/>
      <c r="H153" s="5"/>
      <c r="I153" s="5"/>
      <c r="J153" s="5"/>
      <c r="K153" s="5"/>
      <c r="L153" s="1"/>
      <c r="M153" s="5"/>
      <c r="N153" s="5"/>
      <c r="O153" s="5"/>
      <c r="P153" s="5"/>
      <c r="Q153" s="1" t="s">
        <v>132</v>
      </c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</row>
    <row r="154" customHeight="1" spans="1:34">
      <c r="A154" s="5"/>
      <c r="B154" s="1" t="s">
        <v>283</v>
      </c>
      <c r="C154" s="5"/>
      <c r="D154" s="5"/>
      <c r="E154" s="5"/>
      <c r="F154" s="5"/>
      <c r="G154" s="5"/>
      <c r="H154" s="5"/>
      <c r="I154" s="5"/>
      <c r="J154" s="5"/>
      <c r="K154" s="5"/>
      <c r="L154" s="1"/>
      <c r="M154" s="5"/>
      <c r="N154" s="5"/>
      <c r="O154" s="5"/>
      <c r="P154" s="5"/>
      <c r="Q154" s="5"/>
      <c r="R154" s="5"/>
      <c r="S154" s="5"/>
      <c r="T154" s="5"/>
      <c r="U154" s="14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</row>
    <row r="155" customHeight="1" spans="1:34">
      <c r="A155" s="5"/>
      <c r="B155" s="7" t="s">
        <v>768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1" t="s">
        <v>132</v>
      </c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</row>
    <row r="156" customHeight="1" spans="1:34">
      <c r="A156" s="5"/>
      <c r="B156" s="1" t="s">
        <v>769</v>
      </c>
      <c r="C156" s="5"/>
      <c r="D156" s="5"/>
      <c r="E156" s="5"/>
      <c r="F156" s="5"/>
      <c r="G156" s="5"/>
      <c r="H156" s="5"/>
      <c r="I156" s="5"/>
      <c r="J156" s="5"/>
      <c r="K156" s="5"/>
      <c r="L156" s="1"/>
      <c r="M156" s="5"/>
      <c r="N156" s="5"/>
      <c r="O156" s="5"/>
      <c r="P156" s="5"/>
      <c r="Q156" s="5"/>
      <c r="R156" s="5"/>
      <c r="S156" s="5"/>
      <c r="T156" s="5"/>
      <c r="U156" s="14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</row>
    <row r="157" customHeight="1" spans="1:34">
      <c r="A157" s="5"/>
      <c r="B157" s="5"/>
      <c r="C157" s="7" t="s">
        <v>770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1" t="s">
        <v>771</v>
      </c>
      <c r="R157" s="5"/>
      <c r="S157" s="14"/>
      <c r="T157" s="5"/>
      <c r="U157" s="5"/>
      <c r="V157" s="5"/>
      <c r="W157" s="5"/>
      <c r="X157" s="1"/>
      <c r="Y157" s="5"/>
      <c r="Z157" s="14"/>
      <c r="AA157" s="5"/>
      <c r="AB157" s="5"/>
      <c r="AC157" s="5"/>
      <c r="AD157" s="5"/>
      <c r="AE157" s="5"/>
      <c r="AF157" s="5"/>
      <c r="AG157" s="5"/>
      <c r="AH157" s="5"/>
    </row>
    <row r="158" customHeight="1" spans="1:34">
      <c r="A158" s="5"/>
      <c r="B158" s="5"/>
      <c r="C158" s="7" t="s">
        <v>772</v>
      </c>
      <c r="D158" s="5"/>
      <c r="E158" s="5"/>
      <c r="F158" s="5"/>
      <c r="G158" s="5"/>
      <c r="H158" s="5"/>
      <c r="I158" s="5"/>
      <c r="J158" s="5"/>
      <c r="K158" s="1"/>
      <c r="L158" s="7"/>
      <c r="M158" s="1"/>
      <c r="N158" s="5"/>
      <c r="O158" s="5"/>
      <c r="P158" s="5"/>
      <c r="Q158" s="1" t="s">
        <v>265</v>
      </c>
      <c r="R158" s="5"/>
      <c r="S158" s="14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</row>
    <row r="159" customHeight="1" spans="1:34">
      <c r="A159" s="5"/>
      <c r="B159" s="5"/>
      <c r="C159" s="1" t="s">
        <v>475</v>
      </c>
      <c r="D159" s="5"/>
      <c r="E159" s="5"/>
      <c r="F159" s="5"/>
      <c r="G159" s="5"/>
      <c r="H159" s="5"/>
      <c r="I159" s="5"/>
      <c r="J159" s="5"/>
      <c r="K159" s="1"/>
      <c r="L159" s="1"/>
      <c r="M159" s="1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</row>
    <row r="160" customHeight="1" spans="1:34">
      <c r="A160" s="5"/>
      <c r="B160" s="5"/>
      <c r="C160" s="7" t="s">
        <v>773</v>
      </c>
      <c r="D160" s="5"/>
      <c r="E160" s="5"/>
      <c r="F160" s="5"/>
      <c r="G160" s="5"/>
      <c r="H160" s="5"/>
      <c r="I160" s="5"/>
      <c r="J160" s="5"/>
      <c r="K160" s="1"/>
      <c r="L160" s="5"/>
      <c r="M160" s="5"/>
      <c r="N160" s="5"/>
      <c r="O160" s="5"/>
      <c r="P160" s="5"/>
      <c r="Q160" s="1" t="s">
        <v>132</v>
      </c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</row>
    <row r="161" customHeight="1" spans="1:34">
      <c r="A161" s="5"/>
      <c r="B161" s="5"/>
      <c r="C161" s="1" t="s">
        <v>774</v>
      </c>
      <c r="D161" s="5"/>
      <c r="E161" s="5"/>
      <c r="F161" s="5"/>
      <c r="G161" s="5"/>
      <c r="H161" s="5"/>
      <c r="I161" s="5"/>
      <c r="J161" s="5"/>
      <c r="K161" s="1"/>
      <c r="L161" s="5"/>
      <c r="M161" s="1"/>
      <c r="N161" s="1"/>
      <c r="O161" s="1"/>
      <c r="P161" s="1"/>
      <c r="Q161" s="1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</row>
    <row r="162" customHeight="1" spans="1:34">
      <c r="A162" s="5"/>
      <c r="B162" s="5"/>
      <c r="C162" s="5"/>
      <c r="D162" s="7" t="s">
        <v>775</v>
      </c>
      <c r="E162" s="5"/>
      <c r="F162" s="5"/>
      <c r="G162" s="5"/>
      <c r="H162" s="5"/>
      <c r="I162" s="5"/>
      <c r="J162" s="5"/>
      <c r="K162" s="1"/>
      <c r="L162" s="1"/>
      <c r="M162" s="1"/>
      <c r="N162" s="1"/>
      <c r="O162" s="1"/>
      <c r="P162" s="1"/>
      <c r="Q162" s="1" t="s">
        <v>776</v>
      </c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</row>
    <row r="163" customHeight="1" spans="1:34">
      <c r="A163" s="5"/>
      <c r="B163" s="5"/>
      <c r="C163" s="5"/>
      <c r="D163" s="1" t="s">
        <v>777</v>
      </c>
      <c r="E163" s="5"/>
      <c r="F163" s="5"/>
      <c r="G163" s="5"/>
      <c r="H163" s="5"/>
      <c r="I163" s="5"/>
      <c r="J163" s="5"/>
      <c r="K163" s="1"/>
      <c r="L163" s="1"/>
      <c r="M163" s="1"/>
      <c r="N163" s="1"/>
      <c r="O163" s="1"/>
      <c r="P163" s="1"/>
      <c r="Q163" s="1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</row>
    <row r="164" customHeight="1" spans="1:34">
      <c r="A164" s="5"/>
      <c r="B164" s="5"/>
      <c r="C164" s="5"/>
      <c r="D164" s="5"/>
      <c r="E164" s="7" t="s">
        <v>778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1" t="s">
        <v>779</v>
      </c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</row>
    <row r="165" customHeight="1" spans="1:34">
      <c r="A165" s="5"/>
      <c r="B165" s="5"/>
      <c r="C165" s="5"/>
      <c r="D165" s="5"/>
      <c r="E165" s="7" t="s">
        <v>780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1" t="s">
        <v>265</v>
      </c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</row>
    <row r="166" customHeight="1" spans="1:34">
      <c r="A166" s="5"/>
      <c r="B166" s="5"/>
      <c r="C166" s="5"/>
      <c r="D166" s="5"/>
      <c r="E166" s="1" t="s">
        <v>781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</row>
    <row r="167" customHeight="1" spans="1:34">
      <c r="A167" s="5"/>
      <c r="B167" s="5"/>
      <c r="C167" s="5"/>
      <c r="E167" s="7" t="s">
        <v>782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1" t="s">
        <v>132</v>
      </c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</row>
    <row r="168" customHeight="1" spans="1:34">
      <c r="A168" s="5"/>
      <c r="B168" s="5"/>
      <c r="C168" s="5"/>
      <c r="D168" s="1" t="s">
        <v>173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 customHeight="1" spans="1:34">
      <c r="A169" s="5"/>
      <c r="B169" s="5"/>
      <c r="C169" s="5"/>
      <c r="D169" s="1" t="s">
        <v>255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 customHeight="1" spans="1:34">
      <c r="A170" s="5"/>
      <c r="B170" s="5"/>
      <c r="D170" s="5"/>
      <c r="E170" s="7" t="s">
        <v>783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1" t="s">
        <v>779</v>
      </c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</row>
    <row r="171" customHeight="1" spans="1:34">
      <c r="A171" s="5"/>
      <c r="B171" s="5"/>
      <c r="C171" s="5"/>
      <c r="D171" s="5"/>
      <c r="E171" s="7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</row>
    <row r="172" customHeight="1" spans="1:34">
      <c r="A172" s="5"/>
      <c r="B172" s="5"/>
      <c r="C172" s="5"/>
      <c r="D172" s="5"/>
      <c r="E172" s="7" t="s">
        <v>782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1" t="s">
        <v>265</v>
      </c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</row>
    <row r="173" customHeight="1" spans="1:34">
      <c r="A173" s="5"/>
      <c r="B173" s="5"/>
      <c r="D173" s="1" t="s">
        <v>173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</row>
    <row r="174" customHeight="1" spans="1:34">
      <c r="A174" s="5"/>
      <c r="B174" s="5"/>
      <c r="C174" s="1"/>
      <c r="D174" s="7" t="s">
        <v>782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1" t="s">
        <v>779</v>
      </c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</row>
    <row r="175" customHeight="1" spans="1:34">
      <c r="A175" s="5"/>
      <c r="B175" s="5"/>
      <c r="C175" s="1"/>
      <c r="D175" s="1" t="s">
        <v>304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</row>
    <row r="176" customHeight="1" spans="1:34">
      <c r="A176" s="5"/>
      <c r="B176" s="5"/>
      <c r="C176" s="1"/>
      <c r="D176" s="7" t="s">
        <v>773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1" t="s">
        <v>132</v>
      </c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</row>
    <row r="177" customHeight="1" spans="1:34">
      <c r="A177" s="5"/>
      <c r="B177" s="5"/>
      <c r="C177" s="1" t="s">
        <v>173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</row>
    <row r="178" customHeight="1" spans="1:34">
      <c r="A178" s="5"/>
      <c r="B178" s="5"/>
      <c r="C178" s="7" t="s">
        <v>784</v>
      </c>
      <c r="D178" s="5"/>
      <c r="E178" s="5"/>
      <c r="F178" s="5"/>
      <c r="G178" s="5"/>
      <c r="H178" s="5"/>
      <c r="I178" s="5"/>
      <c r="J178" s="9"/>
      <c r="K178" s="5"/>
      <c r="L178" s="5"/>
      <c r="M178" s="5"/>
      <c r="N178" s="5"/>
      <c r="O178" s="5"/>
      <c r="P178" s="5"/>
      <c r="Q178" s="1" t="s">
        <v>785</v>
      </c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</row>
    <row r="179" customHeight="1" spans="1:34">
      <c r="A179" s="5"/>
      <c r="B179" s="5"/>
      <c r="C179" s="7"/>
      <c r="D179" s="5"/>
      <c r="E179" s="5"/>
      <c r="F179" s="5"/>
      <c r="G179" s="5"/>
      <c r="H179" s="5"/>
      <c r="I179" s="5"/>
      <c r="J179" s="9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</row>
    <row r="180" customHeight="1" spans="1:34">
      <c r="A180" s="5"/>
      <c r="B180" s="5"/>
      <c r="C180" s="7" t="s">
        <v>786</v>
      </c>
      <c r="D180" s="5"/>
      <c r="E180" s="5"/>
      <c r="F180" s="5"/>
      <c r="G180" s="5"/>
      <c r="H180" s="5"/>
      <c r="I180" s="5"/>
      <c r="J180" s="9"/>
      <c r="K180" s="5"/>
      <c r="L180" s="5"/>
      <c r="M180" s="5"/>
      <c r="N180" s="5"/>
      <c r="O180" s="5"/>
      <c r="P180" s="5"/>
      <c r="Q180" s="1" t="s">
        <v>265</v>
      </c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</row>
    <row r="181" customHeight="1" spans="1:34">
      <c r="A181" s="5"/>
      <c r="B181" s="5"/>
      <c r="C181" s="18" t="s">
        <v>391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</row>
    <row r="182" customHeight="1" spans="1:34">
      <c r="A182" s="5"/>
      <c r="B182" s="5"/>
      <c r="C182" s="7" t="s">
        <v>768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1" t="s">
        <v>132</v>
      </c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</row>
    <row r="183" customHeight="1" spans="1:34">
      <c r="A183" s="5"/>
      <c r="B183" s="1" t="s">
        <v>173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</row>
    <row r="184" customHeight="1" spans="1:34">
      <c r="A184" s="5"/>
      <c r="B184" s="7" t="s">
        <v>787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1" t="s">
        <v>785</v>
      </c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</row>
    <row r="185" customHeight="1" spans="1:34">
      <c r="A185" s="5"/>
      <c r="B185" s="6" t="s">
        <v>788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1" t="s">
        <v>265</v>
      </c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</row>
    <row r="186" customHeight="1" spans="1:3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</row>
    <row r="187" customHeight="1" spans="1:3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</row>
    <row r="188" customHeight="1" spans="1:34">
      <c r="A188" s="5"/>
      <c r="B188" s="1" t="s">
        <v>789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</row>
    <row r="189" customHeight="1" spans="1:3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</row>
    <row r="190" customHeight="1" spans="1:3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</row>
    <row r="191" customHeight="1" spans="1:3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</row>
    <row r="192" customHeight="1" spans="1:34">
      <c r="A192" s="5"/>
      <c r="B192" s="6" t="s">
        <v>103</v>
      </c>
      <c r="C192" s="5"/>
      <c r="D192" s="5"/>
      <c r="E192" s="5"/>
      <c r="F192" s="5"/>
      <c r="G192" s="5"/>
      <c r="H192" s="5"/>
      <c r="I192" s="5"/>
      <c r="J192" s="5"/>
      <c r="K192" s="5"/>
      <c r="L192" s="6" t="s">
        <v>103</v>
      </c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</row>
    <row r="193" customHeight="1" spans="1:34">
      <c r="A193" s="5"/>
      <c r="B193" s="1"/>
      <c r="C193" s="5"/>
      <c r="D193" s="5"/>
      <c r="E193" s="5"/>
      <c r="F193" s="5"/>
      <c r="G193" s="5"/>
      <c r="H193" s="5"/>
      <c r="I193" s="5"/>
      <c r="J193" s="5"/>
      <c r="K193" s="5"/>
      <c r="L193" s="1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</row>
    <row r="194" customHeight="1" spans="1:3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</row>
    <row r="195" customHeight="1" spans="1:34">
      <c r="A195" s="5"/>
      <c r="B195" s="1" t="s">
        <v>790</v>
      </c>
      <c r="C195" s="1"/>
      <c r="D195" s="5"/>
      <c r="E195" s="5"/>
      <c r="F195" s="5"/>
      <c r="G195" s="5"/>
      <c r="H195" s="5"/>
      <c r="I195" s="5"/>
      <c r="J195" s="5"/>
      <c r="K195" s="5"/>
      <c r="L195" s="1" t="s">
        <v>790</v>
      </c>
      <c r="M195" s="1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</row>
    <row r="196" customHeight="1" spans="1:34">
      <c r="A196" s="5"/>
      <c r="B196" s="5"/>
      <c r="C196" s="7" t="s">
        <v>791</v>
      </c>
      <c r="D196" s="5"/>
      <c r="E196" s="5"/>
      <c r="F196" s="5"/>
      <c r="G196" s="5"/>
      <c r="H196" s="5"/>
      <c r="I196" s="5"/>
      <c r="J196" s="5"/>
      <c r="K196" s="5"/>
      <c r="L196" s="5"/>
      <c r="M196" s="7" t="s">
        <v>791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</row>
    <row r="197" customHeight="1" spans="1:34">
      <c r="A197" s="5"/>
      <c r="B197" s="5"/>
      <c r="C197" s="7" t="s">
        <v>792</v>
      </c>
      <c r="D197" s="5"/>
      <c r="E197" s="5"/>
      <c r="F197" s="5"/>
      <c r="G197" s="5"/>
      <c r="H197" s="5"/>
      <c r="I197" s="5"/>
      <c r="J197" s="5"/>
      <c r="K197" s="5"/>
      <c r="L197" s="5"/>
      <c r="M197" s="7" t="s">
        <v>792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</row>
    <row r="198" customHeight="1" spans="1:34">
      <c r="A198" s="5"/>
      <c r="B198" s="5"/>
      <c r="C198" s="1" t="s">
        <v>793</v>
      </c>
      <c r="D198" s="5"/>
      <c r="E198" s="5"/>
      <c r="F198" s="5"/>
      <c r="G198" s="5"/>
      <c r="H198" s="5"/>
      <c r="I198" s="5"/>
      <c r="J198" s="5"/>
      <c r="K198" s="5"/>
      <c r="L198" s="5"/>
      <c r="M198" s="1" t="s">
        <v>793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</row>
    <row r="199" customHeight="1" spans="1:34">
      <c r="A199" s="5"/>
      <c r="B199" s="5"/>
      <c r="C199" s="7" t="s">
        <v>794</v>
      </c>
      <c r="D199" s="5"/>
      <c r="E199" s="5"/>
      <c r="F199" s="5"/>
      <c r="G199" s="5"/>
      <c r="H199" s="5"/>
      <c r="I199" s="5"/>
      <c r="J199" s="5"/>
      <c r="K199" s="5"/>
      <c r="L199" s="5"/>
      <c r="M199" s="7" t="s">
        <v>794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</row>
    <row r="200" customHeight="1" spans="1:34">
      <c r="A200" s="5"/>
      <c r="B200" s="1" t="s">
        <v>173</v>
      </c>
      <c r="C200" s="5"/>
      <c r="D200" s="5"/>
      <c r="E200" s="5"/>
      <c r="F200" s="5"/>
      <c r="G200" s="5"/>
      <c r="H200" s="5"/>
      <c r="I200" s="5"/>
      <c r="J200" s="5"/>
      <c r="K200" s="5"/>
      <c r="L200" s="1" t="s">
        <v>173</v>
      </c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</row>
    <row r="201" customHeight="1" spans="1:34">
      <c r="A201" s="5"/>
      <c r="B201" s="1" t="s">
        <v>795</v>
      </c>
      <c r="C201" s="5"/>
      <c r="D201" s="5"/>
      <c r="E201" s="1"/>
      <c r="F201" s="5"/>
      <c r="G201" s="5"/>
      <c r="H201" s="5"/>
      <c r="I201" s="5"/>
      <c r="J201" s="5"/>
      <c r="K201" s="5"/>
      <c r="L201" s="1" t="s">
        <v>796</v>
      </c>
      <c r="M201" s="5"/>
      <c r="N201" s="5"/>
      <c r="O201" s="1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</row>
    <row r="202" customHeight="1" spans="1:34">
      <c r="A202" s="5"/>
      <c r="C202" s="7" t="s">
        <v>797</v>
      </c>
      <c r="D202" s="5"/>
      <c r="E202" s="5"/>
      <c r="F202" s="5"/>
      <c r="G202" s="5"/>
      <c r="H202" s="5"/>
      <c r="I202" s="5"/>
      <c r="J202" s="5"/>
      <c r="K202" s="5"/>
      <c r="M202" s="7" t="s">
        <v>798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</row>
    <row r="203" customHeight="1" spans="1:34">
      <c r="A203" s="5"/>
      <c r="C203" s="14" t="s">
        <v>799</v>
      </c>
      <c r="D203" s="5"/>
      <c r="E203" s="5"/>
      <c r="F203" s="5"/>
      <c r="G203" s="5"/>
      <c r="H203" s="5"/>
      <c r="I203" s="5"/>
      <c r="J203" s="5"/>
      <c r="K203" s="5"/>
      <c r="M203" s="7" t="s">
        <v>800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</row>
    <row r="204" customHeight="1" spans="1:34">
      <c r="A204" s="5"/>
      <c r="D204" s="7" t="s">
        <v>798</v>
      </c>
      <c r="E204" s="5"/>
      <c r="F204" s="5"/>
      <c r="G204" s="5"/>
      <c r="H204" s="5"/>
      <c r="I204" s="5"/>
      <c r="J204" s="5"/>
      <c r="K204" s="5"/>
      <c r="M204" s="1" t="s">
        <v>801</v>
      </c>
      <c r="N204" s="5"/>
      <c r="O204" s="5"/>
      <c r="P204" s="5"/>
      <c r="Q204" s="5"/>
      <c r="R204" s="5"/>
      <c r="S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</row>
    <row r="205" customHeight="1" spans="1:34">
      <c r="A205" s="5"/>
      <c r="D205" s="7" t="s">
        <v>800</v>
      </c>
      <c r="E205" s="5"/>
      <c r="F205" s="5"/>
      <c r="G205" s="5"/>
      <c r="H205" s="5"/>
      <c r="I205" s="5"/>
      <c r="J205" s="5"/>
      <c r="K205" s="5"/>
      <c r="M205" s="7" t="s">
        <v>794</v>
      </c>
      <c r="N205" s="5"/>
      <c r="O205" s="5"/>
      <c r="P205" s="5"/>
      <c r="Q205" s="5"/>
      <c r="R205" s="5"/>
      <c r="S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</row>
    <row r="206" customHeight="1" spans="1:34">
      <c r="A206" s="5"/>
      <c r="D206" s="1" t="s">
        <v>801</v>
      </c>
      <c r="E206" s="5"/>
      <c r="F206" s="5"/>
      <c r="G206" s="5"/>
      <c r="H206" s="5"/>
      <c r="I206" s="5"/>
      <c r="J206" s="5"/>
      <c r="K206" s="5"/>
      <c r="L206" s="1" t="s">
        <v>143</v>
      </c>
      <c r="M206" s="1" t="s">
        <v>162</v>
      </c>
      <c r="N206" s="5"/>
      <c r="O206" s="5"/>
      <c r="P206" s="5"/>
      <c r="Q206" s="5"/>
      <c r="R206" s="5"/>
      <c r="S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</row>
    <row r="207" customHeight="1" spans="1:34">
      <c r="A207" s="5"/>
      <c r="C207" s="1"/>
      <c r="D207" s="7" t="s">
        <v>794</v>
      </c>
      <c r="E207" s="5"/>
      <c r="F207" s="5"/>
      <c r="G207" s="5"/>
      <c r="H207" s="5"/>
      <c r="I207" s="5"/>
      <c r="J207" s="5"/>
      <c r="K207" s="5"/>
      <c r="L207" s="5"/>
      <c r="M207" s="7" t="s">
        <v>802</v>
      </c>
      <c r="N207" s="5"/>
      <c r="O207" s="5"/>
      <c r="P207" s="5"/>
      <c r="Q207" s="5"/>
      <c r="R207" s="5"/>
      <c r="S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</row>
    <row r="208" customHeight="1" spans="1:34">
      <c r="A208" s="5"/>
      <c r="C208" s="1" t="s">
        <v>173</v>
      </c>
      <c r="E208" s="5"/>
      <c r="F208" s="5"/>
      <c r="G208" s="5"/>
      <c r="H208" s="5"/>
      <c r="I208" s="5"/>
      <c r="J208" s="5"/>
      <c r="K208" s="5"/>
      <c r="L208" s="5"/>
      <c r="M208" s="7" t="s">
        <v>803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</row>
    <row r="209" customHeight="1" spans="1:34">
      <c r="A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1" t="s">
        <v>804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</row>
    <row r="210" customHeight="1" spans="1:34">
      <c r="A210" s="5"/>
      <c r="C210" s="1" t="s">
        <v>143</v>
      </c>
      <c r="D210" s="1" t="s">
        <v>162</v>
      </c>
      <c r="E210" s="5"/>
      <c r="F210" s="5"/>
      <c r="G210" s="5"/>
      <c r="H210" s="5"/>
      <c r="I210" s="5"/>
      <c r="J210" s="5"/>
      <c r="K210" s="5"/>
      <c r="L210" s="1"/>
      <c r="M210" s="7" t="s">
        <v>794</v>
      </c>
      <c r="N210" s="5"/>
      <c r="O210" s="5"/>
      <c r="P210" s="5"/>
      <c r="Q210" s="5"/>
      <c r="R210" s="5"/>
      <c r="S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</row>
    <row r="211" customHeight="1" spans="1:34">
      <c r="A211" s="5"/>
      <c r="C211" s="5"/>
      <c r="D211" s="7" t="s">
        <v>802</v>
      </c>
      <c r="E211" s="5"/>
      <c r="F211" s="5"/>
      <c r="G211" s="5"/>
      <c r="H211" s="5"/>
      <c r="I211" s="5"/>
      <c r="J211" s="5"/>
      <c r="K211" s="5"/>
      <c r="L211" s="1" t="s">
        <v>173</v>
      </c>
      <c r="M211" s="1"/>
      <c r="N211" s="5"/>
      <c r="O211" s="5"/>
      <c r="P211" s="5"/>
      <c r="Q211" s="5"/>
      <c r="R211" s="5"/>
      <c r="S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 customHeight="1" spans="1:34">
      <c r="A212" s="5"/>
      <c r="C212" s="5"/>
      <c r="D212" s="7" t="s">
        <v>803</v>
      </c>
      <c r="E212" s="5"/>
      <c r="F212" s="5"/>
      <c r="G212" s="5"/>
      <c r="H212" s="5"/>
      <c r="I212" s="5"/>
      <c r="J212" s="5"/>
      <c r="K212" s="5"/>
      <c r="L212" s="7" t="s">
        <v>794</v>
      </c>
      <c r="M212" s="5"/>
      <c r="N212" s="5"/>
      <c r="O212" s="5"/>
      <c r="P212" s="5"/>
      <c r="Q212" s="5"/>
      <c r="R212" s="5"/>
      <c r="S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</row>
    <row r="213" customHeight="1" spans="1:34">
      <c r="A213" s="5"/>
      <c r="C213" s="5"/>
      <c r="D213" s="1" t="s">
        <v>804</v>
      </c>
      <c r="E213" s="5"/>
      <c r="F213" s="5"/>
      <c r="G213" s="5"/>
      <c r="H213" s="5"/>
      <c r="I213" s="5"/>
      <c r="J213" s="5"/>
      <c r="K213" s="5"/>
      <c r="L213" s="1" t="s">
        <v>173</v>
      </c>
      <c r="M213" s="5"/>
      <c r="N213" s="5"/>
      <c r="O213" s="5"/>
      <c r="P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</row>
    <row r="214" customHeight="1" spans="1:34">
      <c r="A214" s="5"/>
      <c r="C214" s="1"/>
      <c r="D214" s="7" t="s">
        <v>794</v>
      </c>
      <c r="E214" s="5"/>
      <c r="F214" s="5"/>
      <c r="G214" s="5"/>
      <c r="H214" s="5"/>
      <c r="I214" s="5"/>
      <c r="J214" s="5"/>
      <c r="K214" s="5"/>
      <c r="L214" s="7"/>
      <c r="M214" s="5"/>
      <c r="N214" s="5"/>
      <c r="O214" s="5"/>
      <c r="P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</row>
    <row r="215" customHeight="1" spans="1:34">
      <c r="A215" s="5"/>
      <c r="C215" s="1" t="s">
        <v>173</v>
      </c>
      <c r="D215" s="1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</row>
    <row r="216" customHeight="1" spans="1:34">
      <c r="A216" s="5"/>
      <c r="B216" s="1"/>
      <c r="C216" s="7" t="s">
        <v>794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</row>
    <row r="217" customHeight="1" spans="1:34">
      <c r="A217" s="5"/>
      <c r="B217" s="1" t="s">
        <v>173</v>
      </c>
      <c r="C217" s="5"/>
      <c r="D217" s="5"/>
      <c r="E217" s="5"/>
      <c r="F217" s="5"/>
      <c r="G217" s="5"/>
      <c r="H217" s="5"/>
      <c r="I217" s="5"/>
      <c r="J217" s="5"/>
      <c r="K217" s="5"/>
      <c r="L217" s="6" t="s">
        <v>794</v>
      </c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</row>
    <row r="218" customHeight="1" spans="1:34">
      <c r="A218" s="5"/>
      <c r="B218" s="7"/>
      <c r="C218" s="5"/>
      <c r="D218" s="5"/>
      <c r="E218" s="5"/>
      <c r="F218" s="5"/>
      <c r="G218" s="5"/>
      <c r="H218" s="5"/>
      <c r="I218" s="5"/>
      <c r="J218" s="5"/>
      <c r="K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</row>
    <row r="219" customHeight="1" spans="1:3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</row>
    <row r="220" customHeight="1" spans="1:3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</row>
    <row r="221" customHeight="1" spans="1:34">
      <c r="A221" s="5"/>
      <c r="B221" s="6" t="s">
        <v>794</v>
      </c>
      <c r="C221" s="5"/>
      <c r="D221" s="5"/>
      <c r="E221" s="5"/>
      <c r="F221" s="5"/>
      <c r="G221" s="5"/>
      <c r="H221" s="5"/>
      <c r="I221" s="5"/>
      <c r="J221" s="5"/>
      <c r="K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</row>
    <row r="222" customHeight="1" spans="1:3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</row>
    <row r="223" customHeight="1" spans="1:3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</row>
    <row r="224" customHeight="1" spans="1:3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</row>
    <row r="225" customHeight="1" spans="1:3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</row>
    <row r="226" customHeight="1" spans="1:3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</row>
    <row r="227" customHeight="1" spans="1:3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</row>
    <row r="228" customHeight="1" spans="1:34">
      <c r="A228" s="5"/>
      <c r="B228" s="1" t="s">
        <v>805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</row>
    <row r="229" customHeight="1" spans="1:34">
      <c r="A229" s="5"/>
      <c r="B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</row>
    <row r="230" customHeight="1" spans="1:34">
      <c r="A230" s="5"/>
      <c r="B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</row>
    <row r="231" customHeight="1" spans="1:34">
      <c r="A231" s="5"/>
      <c r="B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</row>
    <row r="232" customHeight="1" spans="1:3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</row>
    <row r="233" customHeight="1" spans="1:34">
      <c r="A233" s="5"/>
      <c r="B233" s="6" t="s">
        <v>806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</row>
    <row r="234" customHeight="1" spans="1:34">
      <c r="A234" s="5"/>
      <c r="B234" s="7" t="s">
        <v>807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</row>
    <row r="235" customHeight="1" spans="1:34">
      <c r="A235" s="5"/>
      <c r="B235" s="1" t="s">
        <v>808</v>
      </c>
      <c r="C235" s="5"/>
      <c r="D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</row>
    <row r="236" customHeight="1" spans="1:34">
      <c r="A236" s="5"/>
      <c r="B236" s="7" t="s">
        <v>809</v>
      </c>
      <c r="C236" s="5"/>
      <c r="D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</row>
    <row r="237" customHeight="1" spans="1:34">
      <c r="A237" s="5"/>
      <c r="B237" s="1" t="s">
        <v>810</v>
      </c>
      <c r="C237" s="5"/>
      <c r="D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</row>
    <row r="238" customHeight="1" spans="1:34">
      <c r="A238" s="5"/>
      <c r="B238" s="7" t="s">
        <v>811</v>
      </c>
      <c r="C238" s="5"/>
      <c r="D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</row>
    <row r="239" customHeight="1" spans="1:34">
      <c r="A239" s="5"/>
      <c r="B239" s="1" t="s">
        <v>812</v>
      </c>
      <c r="C239" s="5"/>
      <c r="D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</row>
    <row r="240" customHeight="1" spans="1:34">
      <c r="A240" s="5"/>
      <c r="B240" s="7" t="s">
        <v>813</v>
      </c>
      <c r="C240" s="5"/>
      <c r="D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</row>
    <row r="241" customHeight="1" spans="1:34">
      <c r="A241" s="5"/>
      <c r="B241" s="1" t="s">
        <v>814</v>
      </c>
      <c r="C241" s="5"/>
      <c r="D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</row>
    <row r="242" customHeight="1" spans="1:34">
      <c r="A242" s="5"/>
      <c r="B242" s="5"/>
      <c r="C242" s="7" t="s">
        <v>815</v>
      </c>
      <c r="D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</row>
    <row r="243" customHeight="1" spans="1:34">
      <c r="A243" s="5"/>
      <c r="B243" s="5"/>
      <c r="C243" s="7" t="s">
        <v>816</v>
      </c>
      <c r="D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</row>
    <row r="244" customHeight="1" spans="1:34">
      <c r="A244" s="5"/>
      <c r="B244" s="5"/>
      <c r="C244" s="1" t="s">
        <v>817</v>
      </c>
      <c r="D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</row>
    <row r="245" customHeight="1" spans="1:34">
      <c r="A245" s="5"/>
      <c r="C245" s="7" t="s">
        <v>818</v>
      </c>
      <c r="M245" s="5"/>
      <c r="N245" s="5"/>
      <c r="O245" s="1" t="s">
        <v>496</v>
      </c>
      <c r="P245" s="1" t="s">
        <v>93</v>
      </c>
      <c r="Q245" s="1" t="s">
        <v>231</v>
      </c>
      <c r="R245" s="1" t="s">
        <v>819</v>
      </c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</row>
    <row r="246" customHeight="1" spans="1:34">
      <c r="A246" s="5"/>
      <c r="B246" s="5"/>
      <c r="C246" s="1" t="s">
        <v>820</v>
      </c>
      <c r="D246" s="5"/>
      <c r="F246" s="5"/>
      <c r="G246" s="5"/>
      <c r="H246" s="5"/>
      <c r="I246" s="5"/>
      <c r="J246" s="5"/>
      <c r="K246" s="5"/>
      <c r="L246" s="5"/>
      <c r="M246" s="5"/>
      <c r="N246" s="5"/>
      <c r="O246" s="1">
        <v>2</v>
      </c>
      <c r="P246" s="1">
        <v>130</v>
      </c>
      <c r="Q246" s="1">
        <v>5</v>
      </c>
      <c r="R246" s="1">
        <f t="shared" ref="R246:R248" si="4">QUOTIENT(P246,60)</f>
        <v>2</v>
      </c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</row>
    <row r="247" customHeight="1" spans="1:34">
      <c r="A247" s="5"/>
      <c r="B247" s="5"/>
      <c r="C247" s="7" t="s">
        <v>821</v>
      </c>
      <c r="D247" s="5"/>
      <c r="F247" s="5"/>
      <c r="G247" s="5"/>
      <c r="H247" s="5"/>
      <c r="I247" s="5"/>
      <c r="J247" s="5"/>
      <c r="K247" s="5"/>
      <c r="L247" s="5"/>
      <c r="M247" s="5"/>
      <c r="N247" s="5"/>
      <c r="O247" s="1">
        <v>3</v>
      </c>
      <c r="P247" s="1">
        <v>70</v>
      </c>
      <c r="Q247" s="1">
        <v>5</v>
      </c>
      <c r="R247" s="1">
        <f t="shared" si="4"/>
        <v>1</v>
      </c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</row>
    <row r="248" customHeight="1" spans="1:34">
      <c r="A248" s="5"/>
      <c r="B248" s="1" t="s">
        <v>173</v>
      </c>
      <c r="C248" s="5"/>
      <c r="D248" s="5"/>
      <c r="F248" s="5"/>
      <c r="G248" s="5"/>
      <c r="H248" s="5"/>
      <c r="I248" s="5"/>
      <c r="J248" s="5"/>
      <c r="K248" s="5"/>
      <c r="L248" s="5"/>
      <c r="M248" s="5"/>
      <c r="N248" s="5"/>
      <c r="O248" s="1">
        <v>4</v>
      </c>
      <c r="P248" s="1">
        <v>10</v>
      </c>
      <c r="Q248" s="1">
        <v>5</v>
      </c>
      <c r="R248" s="1">
        <f t="shared" si="4"/>
        <v>0</v>
      </c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</row>
    <row r="249" customHeight="1" spans="1:34">
      <c r="A249" s="5"/>
      <c r="B249" s="7" t="s">
        <v>822</v>
      </c>
      <c r="C249" s="5"/>
      <c r="D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</row>
    <row r="250" customHeight="1" spans="1:34">
      <c r="A250" s="5"/>
      <c r="B250" s="1" t="s">
        <v>823</v>
      </c>
      <c r="C250" s="5"/>
      <c r="D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</row>
    <row r="251" customHeight="1" spans="1:34">
      <c r="A251" s="5"/>
      <c r="B251" s="5"/>
      <c r="C251" s="7" t="s">
        <v>824</v>
      </c>
      <c r="D251" s="5"/>
      <c r="F251" s="5"/>
      <c r="G251" s="5"/>
      <c r="H251" s="5"/>
      <c r="I251" s="5"/>
      <c r="J251" s="5"/>
      <c r="K251" s="5"/>
      <c r="L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</row>
    <row r="252" customHeight="1" spans="1:34">
      <c r="A252" s="5"/>
      <c r="B252" s="5"/>
      <c r="C252" s="7" t="s">
        <v>825</v>
      </c>
      <c r="D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</row>
    <row r="253" customHeight="1" spans="1:34">
      <c r="A253" s="5"/>
      <c r="B253" s="5"/>
      <c r="C253" s="1" t="s">
        <v>826</v>
      </c>
      <c r="D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</row>
    <row r="254" customHeight="1" spans="1:34">
      <c r="A254" s="5"/>
      <c r="C254" s="7" t="s">
        <v>827</v>
      </c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</row>
    <row r="255" customHeight="1" spans="1:34">
      <c r="A255" s="5"/>
      <c r="B255" s="5"/>
      <c r="C255" s="1" t="s">
        <v>828</v>
      </c>
      <c r="D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</row>
    <row r="256" customHeight="1" spans="1:34">
      <c r="A256" s="5"/>
      <c r="B256" s="5"/>
      <c r="C256" s="7" t="s">
        <v>829</v>
      </c>
      <c r="D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</row>
    <row r="257" customHeight="1" spans="1:34">
      <c r="A257" s="5"/>
      <c r="B257" s="1" t="s">
        <v>173</v>
      </c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</row>
    <row r="258" customHeight="1" spans="1:34">
      <c r="A258" s="5"/>
      <c r="B258" s="7" t="s">
        <v>830</v>
      </c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</row>
    <row r="259" customHeight="1" spans="1:3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</row>
    <row r="260" customHeight="1" spans="1:34">
      <c r="A260" s="5"/>
      <c r="B260" s="6" t="s">
        <v>830</v>
      </c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</row>
    <row r="261" customHeight="1" spans="1:3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</row>
    <row r="262" customHeight="1" spans="1:3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</row>
    <row r="263" customHeight="1" spans="1:3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</row>
    <row r="264" customHeight="1" spans="1:3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</row>
    <row r="265" customHeight="1" spans="1:3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</row>
    <row r="266" customHeight="1" spans="1:3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</row>
    <row r="267" customHeight="1" spans="1:3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</row>
    <row r="268" customHeight="1" spans="1:3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</row>
    <row r="269" customHeight="1" spans="1:3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</row>
    <row r="270" customHeight="1" spans="1:3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</row>
    <row r="271" customHeight="1" spans="1:3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</row>
    <row r="272" customHeight="1" spans="1:3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</row>
    <row r="273" customHeight="1" spans="1:3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</row>
    <row r="274" customHeight="1" spans="1:3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</row>
    <row r="275" customHeight="1" spans="1:3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</row>
    <row r="276" customHeight="1" spans="1:3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</row>
    <row r="277" customHeight="1" spans="1:3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</row>
    <row r="278" customHeight="1" spans="1:3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</row>
    <row r="279" customHeight="1" spans="1:3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</row>
    <row r="280" customHeight="1" spans="1:3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</row>
    <row r="281" customHeight="1" spans="1:3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</row>
    <row r="282" customHeight="1" spans="1:3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</row>
    <row r="283" customHeight="1" spans="1:3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</row>
    <row r="284" customHeight="1" spans="1:3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</row>
    <row r="285" customHeight="1" spans="1:3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</row>
    <row r="286" customHeight="1" spans="1:3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</row>
    <row r="287" customHeight="1" spans="1:3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</row>
    <row r="288" customHeight="1" spans="1:3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</row>
    <row r="289" customHeight="1" spans="1:3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</row>
    <row r="290" customHeight="1" spans="1:3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</row>
    <row r="291" customHeight="1" spans="1:3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</row>
    <row r="292" customHeight="1" spans="1:3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</row>
    <row r="293" customHeight="1" spans="1:3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</row>
    <row r="294" customHeight="1" spans="1:3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</row>
    <row r="295" customHeight="1" spans="1:3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</row>
    <row r="296" customHeight="1" spans="1:3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</row>
    <row r="297" customHeight="1" spans="1:3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</row>
    <row r="298" customHeight="1" spans="1:3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</row>
    <row r="299" customHeight="1" spans="1:3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</row>
    <row r="300" customHeight="1" spans="1:3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</row>
    <row r="301" customHeight="1" spans="1:3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</row>
    <row r="302" customHeight="1" spans="1:3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</row>
    <row r="303" customHeight="1" spans="1:3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</row>
    <row r="304" customHeight="1" spans="1:3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</row>
    <row r="305" customHeight="1" spans="1:3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</row>
    <row r="306" customHeight="1" spans="1:3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</row>
    <row r="307" customHeight="1" spans="1:3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</row>
    <row r="308" customHeight="1" spans="1:3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</row>
    <row r="309" customHeight="1" spans="1:3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</row>
    <row r="310" customHeight="1" spans="1:3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</row>
    <row r="311" customHeight="1" spans="1:3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</row>
    <row r="312" customHeight="1" spans="1:3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</row>
    <row r="313" customHeight="1" spans="1:3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</row>
    <row r="314" customHeight="1" spans="1:3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</row>
    <row r="315" customHeight="1" spans="1:3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</row>
    <row r="316" customHeight="1" spans="1:3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</row>
    <row r="317" customHeight="1" spans="1:3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</row>
    <row r="318" customHeight="1" spans="1:3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</row>
    <row r="319" customHeight="1" spans="1:3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</row>
    <row r="320" customHeight="1" spans="1:3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</row>
    <row r="321" customHeight="1" spans="1:3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</row>
    <row r="322" customHeight="1" spans="1:3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</row>
    <row r="323" customHeight="1" spans="1:3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</row>
    <row r="324" customHeight="1" spans="1:3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</row>
    <row r="325" customHeight="1" spans="1:3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</row>
    <row r="326" customHeight="1" spans="1:3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</row>
    <row r="327" customHeight="1" spans="1:3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</row>
    <row r="328" customHeight="1" spans="1:3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</row>
    <row r="329" customHeight="1" spans="1:3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</row>
    <row r="330" customHeight="1" spans="1:3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</row>
    <row r="331" customHeight="1" spans="1:3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</row>
    <row r="332" customHeight="1" spans="1:3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</row>
    <row r="333" customHeight="1" spans="1:3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</row>
    <row r="334" customHeight="1" spans="1: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</row>
    <row r="335" customHeight="1" spans="1:3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</row>
    <row r="336" customHeight="1" spans="1:3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</row>
    <row r="337" customHeight="1" spans="1:3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</row>
    <row r="338" customHeight="1" spans="1:3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</row>
    <row r="339" customHeight="1" spans="1:3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</row>
    <row r="340" customHeight="1" spans="1:3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</row>
    <row r="341" customHeight="1" spans="1:3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</row>
    <row r="342" customHeight="1" spans="1:3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</row>
    <row r="343" customHeight="1" spans="1:3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</row>
    <row r="344" customHeight="1" spans="1:3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</row>
    <row r="345" customHeight="1" spans="1:3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</row>
    <row r="346" customHeight="1" spans="1:3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</row>
    <row r="347" customHeight="1" spans="1:3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</row>
    <row r="348" customHeight="1" spans="1:3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</row>
    <row r="349" customHeight="1" spans="1:3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</row>
    <row r="350" customHeight="1" spans="1:3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</row>
    <row r="351" customHeight="1" spans="1:3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</row>
    <row r="352" customHeight="1" spans="1:3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</row>
    <row r="353" customHeight="1" spans="1:3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</row>
    <row r="354" customHeight="1" spans="1:3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</row>
    <row r="355" customHeight="1" spans="1:3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</row>
    <row r="356" customHeight="1" spans="1:3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</row>
    <row r="357" customHeight="1" spans="1:3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</row>
    <row r="358" customHeight="1" spans="1:3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</row>
    <row r="359" customHeight="1" spans="1:3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</row>
    <row r="360" customHeight="1" spans="1:3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</row>
    <row r="361" customHeight="1" spans="1:3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</row>
    <row r="362" customHeight="1" spans="1:3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</row>
    <row r="363" customHeight="1" spans="1:3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</row>
    <row r="364" customHeight="1" spans="1:3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</row>
    <row r="365" customHeight="1" spans="1:3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</row>
    <row r="366" customHeight="1" spans="1:3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</row>
    <row r="367" customHeight="1" spans="1:3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</row>
    <row r="368" customHeight="1" spans="1:3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</row>
    <row r="369" customHeight="1" spans="1:3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</row>
    <row r="370" customHeight="1" spans="1:3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</row>
    <row r="371" customHeight="1" spans="1:3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</row>
    <row r="372" customHeight="1" spans="1:3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</row>
    <row r="373" customHeight="1" spans="1:3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</row>
    <row r="374" customHeight="1" spans="1:3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</row>
    <row r="375" customHeight="1" spans="1:3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</row>
    <row r="376" customHeight="1" spans="1:3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</row>
    <row r="377" customHeight="1" spans="1:3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</row>
    <row r="378" customHeight="1" spans="1:3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</row>
    <row r="379" customHeight="1" spans="1:3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</row>
    <row r="380" customHeight="1" spans="1:3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</row>
    <row r="381" customHeight="1" spans="1:3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</row>
    <row r="382" customHeight="1" spans="1:3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</row>
    <row r="383" customHeight="1" spans="1:3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</row>
    <row r="384" customHeight="1" spans="1:3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</row>
    <row r="385" customHeight="1" spans="1:3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</row>
    <row r="386" customHeight="1" spans="1:3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</row>
    <row r="387" customHeight="1" spans="1:3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</row>
    <row r="388" customHeight="1" spans="1:3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</row>
    <row r="389" customHeight="1" spans="1:3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</row>
    <row r="390" customHeight="1" spans="1:3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</row>
    <row r="391" customHeight="1" spans="1:3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</row>
    <row r="392" customHeight="1" spans="1:3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</row>
    <row r="393" customHeight="1" spans="1:3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</row>
    <row r="394" customHeight="1" spans="1:3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</row>
    <row r="395" customHeight="1" spans="1:3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</row>
    <row r="396" customHeight="1" spans="1:3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</row>
    <row r="397" customHeight="1" spans="1:3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</row>
    <row r="398" customHeight="1" spans="1:3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</row>
    <row r="399" customHeight="1" spans="1:3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</row>
    <row r="400" customHeight="1" spans="1:3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</row>
    <row r="401" customHeight="1" spans="1:3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</row>
    <row r="402" customHeight="1" spans="1:3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</row>
    <row r="403" customHeight="1" spans="1:3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</row>
    <row r="404" customHeight="1" spans="1:3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</row>
    <row r="405" customHeight="1" spans="1:3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</row>
    <row r="406" customHeight="1" spans="1:3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</row>
    <row r="407" customHeight="1" spans="1:3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</row>
    <row r="408" customHeight="1" spans="1:3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</row>
    <row r="409" customHeight="1" spans="1:3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</row>
    <row r="410" customHeight="1" spans="1:3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</row>
    <row r="411" customHeight="1" spans="1:3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</row>
    <row r="412" customHeight="1" spans="1:3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</row>
    <row r="413" customHeight="1" spans="1:3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</row>
    <row r="414" customHeight="1" spans="1:3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</row>
    <row r="415" customHeight="1" spans="1:3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</row>
    <row r="416" customHeight="1" spans="1:3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</row>
    <row r="417" customHeight="1" spans="1:3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</row>
    <row r="418" customHeight="1" spans="1:3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</row>
    <row r="419" customHeight="1" spans="1:3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</row>
    <row r="420" customHeight="1" spans="1:3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</row>
    <row r="421" customHeight="1" spans="1:3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</row>
    <row r="422" customHeight="1" spans="1:3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</row>
    <row r="423" customHeight="1" spans="1:3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</row>
    <row r="424" customHeight="1" spans="1:3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</row>
    <row r="425" customHeight="1" spans="1:3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</row>
    <row r="426" customHeight="1" spans="1:3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</row>
    <row r="427" customHeight="1" spans="1:3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</row>
    <row r="428" customHeight="1" spans="1:3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</row>
    <row r="429" customHeight="1" spans="1:3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</row>
    <row r="430" customHeight="1" spans="1:3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</row>
    <row r="431" customHeight="1" spans="1:3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</row>
    <row r="432" customHeight="1" spans="1:3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</row>
    <row r="433" customHeight="1" spans="1:3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</row>
    <row r="434" customHeight="1" spans="1: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</row>
    <row r="435" customHeight="1" spans="1:3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</row>
    <row r="436" customHeight="1" spans="1:3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</row>
    <row r="437" customHeight="1" spans="1:3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</row>
    <row r="438" customHeight="1" spans="1:3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</row>
    <row r="439" customHeight="1" spans="1:3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</row>
    <row r="440" customHeight="1" spans="1:3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</row>
    <row r="441" customHeight="1" spans="1:3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</row>
    <row r="442" customHeight="1" spans="1:3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</row>
    <row r="443" customHeight="1" spans="1:3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</row>
    <row r="444" customHeight="1" spans="1:3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</row>
    <row r="445" customHeight="1" spans="1:3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</row>
    <row r="446" customHeight="1" spans="1:3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</row>
    <row r="447" customHeight="1" spans="1:3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</row>
    <row r="448" customHeight="1" spans="1:3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</row>
    <row r="449" customHeight="1" spans="1:3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</row>
    <row r="450" customHeight="1" spans="1:3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</row>
    <row r="451" customHeight="1" spans="1:3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</row>
    <row r="452" customHeight="1" spans="1:3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</row>
    <row r="453" customHeight="1" spans="1:3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</row>
    <row r="454" customHeight="1" spans="1:3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</row>
    <row r="455" customHeight="1" spans="1:3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</row>
    <row r="456" customHeight="1" spans="1:3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</row>
    <row r="457" customHeight="1" spans="1:3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</row>
    <row r="458" customHeight="1" spans="1:3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</row>
    <row r="459" customHeight="1" spans="1:3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</row>
    <row r="460" customHeight="1" spans="1:3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</row>
    <row r="461" customHeight="1" spans="1:3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</row>
    <row r="462" customHeight="1" spans="1:3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</row>
    <row r="463" customHeight="1" spans="1:3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</row>
    <row r="464" customHeight="1" spans="1:3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</row>
    <row r="465" customHeight="1" spans="1:3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</row>
    <row r="466" customHeight="1" spans="1:3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</row>
    <row r="467" customHeight="1" spans="1:3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</row>
    <row r="468" customHeight="1" spans="1:3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</row>
    <row r="469" customHeight="1" spans="1:3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</row>
    <row r="470" customHeight="1" spans="1:3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</row>
    <row r="471" customHeight="1" spans="1:3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</row>
    <row r="472" customHeight="1" spans="1:3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</row>
    <row r="473" customHeight="1" spans="1:3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</row>
    <row r="474" customHeight="1" spans="1:3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</row>
    <row r="475" customHeight="1" spans="1:3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</row>
    <row r="476" customHeight="1" spans="1:3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</row>
    <row r="477" customHeight="1" spans="1:3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</row>
    <row r="478" customHeight="1" spans="1:3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</row>
    <row r="479" customHeight="1" spans="1:3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</row>
    <row r="480" customHeight="1" spans="1:3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</row>
    <row r="481" customHeight="1" spans="1:3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</row>
    <row r="482" customHeight="1" spans="1:3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</row>
    <row r="483" customHeight="1" spans="1:3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</row>
    <row r="484" customHeight="1" spans="1:3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</row>
    <row r="485" customHeight="1" spans="1:3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</row>
    <row r="486" customHeight="1" spans="1:3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</row>
    <row r="487" customHeight="1" spans="1:3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</row>
    <row r="488" customHeight="1" spans="1:3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</row>
    <row r="489" customHeight="1" spans="1:3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</row>
    <row r="490" customHeight="1" spans="1:3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</row>
    <row r="491" customHeight="1" spans="1:3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</row>
    <row r="492" customHeight="1" spans="1:3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</row>
    <row r="493" customHeight="1" spans="1:3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</row>
    <row r="494" customHeight="1" spans="1:3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</row>
    <row r="495" customHeight="1" spans="1:3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</row>
    <row r="496" customHeight="1" spans="1:3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</row>
    <row r="497" customHeight="1" spans="1:3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</row>
    <row r="498" customHeight="1" spans="1:3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</row>
    <row r="499" customHeight="1" spans="1:3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</row>
    <row r="500" customHeight="1" spans="1:3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</row>
    <row r="501" customHeight="1" spans="1:3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</row>
    <row r="502" customHeight="1" spans="1:3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</row>
    <row r="503" customHeight="1" spans="1:3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</row>
    <row r="504" customHeight="1" spans="1:3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</row>
    <row r="505" customHeight="1" spans="1:3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</row>
    <row r="506" customHeight="1" spans="1:3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</row>
    <row r="507" customHeight="1" spans="1:3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</row>
    <row r="508" customHeight="1" spans="1:3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</row>
    <row r="509" customHeight="1" spans="1:3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</row>
    <row r="510" customHeight="1" spans="1:3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</row>
    <row r="511" customHeight="1" spans="1:3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</row>
    <row r="512" customHeight="1" spans="1:3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</row>
    <row r="513" customHeight="1" spans="1:3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</row>
    <row r="514" customHeight="1" spans="1:3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</row>
    <row r="515" customHeight="1" spans="1:3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</row>
    <row r="516" customHeight="1" spans="1:3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</row>
    <row r="517" customHeight="1" spans="1:3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</row>
    <row r="518" customHeight="1" spans="1:3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</row>
    <row r="519" customHeight="1" spans="1:3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</row>
    <row r="520" customHeight="1" spans="1:3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</row>
    <row r="521" customHeight="1" spans="1:3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</row>
    <row r="522" customHeight="1" spans="1:3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</row>
    <row r="523" customHeight="1" spans="1:3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</row>
    <row r="524" customHeight="1" spans="1:3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</row>
    <row r="525" customHeight="1" spans="1:3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</row>
    <row r="526" customHeight="1" spans="1:3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</row>
    <row r="527" customHeight="1" spans="1:3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</row>
    <row r="528" customHeight="1" spans="1:3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</row>
    <row r="529" customHeight="1" spans="1:3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</row>
    <row r="530" customHeight="1" spans="1:3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</row>
    <row r="531" customHeight="1" spans="1:3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</row>
    <row r="532" customHeight="1" spans="1:3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</row>
    <row r="533" customHeight="1" spans="1:3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</row>
    <row r="534" customHeight="1" spans="1: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</row>
    <row r="535" customHeight="1" spans="1:3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</row>
    <row r="536" customHeight="1" spans="1:3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</row>
    <row r="537" customHeight="1" spans="1:3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</row>
    <row r="538" customHeight="1" spans="1:3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</row>
    <row r="539" customHeight="1" spans="1:3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</row>
    <row r="540" customHeight="1" spans="1:3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</row>
    <row r="541" customHeight="1" spans="1:3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</row>
    <row r="542" customHeight="1" spans="1:3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</row>
    <row r="543" customHeight="1" spans="1:3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</row>
    <row r="544" customHeight="1" spans="1:3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</row>
    <row r="545" customHeight="1" spans="1:3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</row>
    <row r="546" customHeight="1" spans="1:3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</row>
    <row r="547" customHeight="1" spans="1:3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</row>
    <row r="548" customHeight="1" spans="1:3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</row>
    <row r="549" customHeight="1" spans="1:3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</row>
    <row r="550" customHeight="1" spans="1:3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</row>
    <row r="551" customHeight="1" spans="1:3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</row>
    <row r="552" customHeight="1" spans="1:3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</row>
    <row r="553" customHeight="1" spans="1:3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</row>
    <row r="554" customHeight="1" spans="1:3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</row>
    <row r="555" customHeight="1" spans="1:3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</row>
    <row r="556" customHeight="1" spans="1:3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</row>
    <row r="557" customHeight="1" spans="1:3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</row>
    <row r="558" customHeight="1" spans="1:3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</row>
    <row r="559" customHeight="1" spans="1:3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</row>
    <row r="560" customHeight="1" spans="1:3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</row>
    <row r="561" customHeight="1" spans="1:3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</row>
    <row r="562" customHeight="1" spans="1:3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</row>
    <row r="563" customHeight="1" spans="1:3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</row>
    <row r="564" customHeight="1" spans="1:3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</row>
    <row r="565" customHeight="1" spans="1:3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</row>
    <row r="566" customHeight="1" spans="1:3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</row>
    <row r="567" customHeight="1" spans="1:3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</row>
    <row r="568" customHeight="1" spans="1:3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</row>
    <row r="569" customHeight="1" spans="1:3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</row>
    <row r="570" customHeight="1" spans="1:3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</row>
    <row r="571" customHeight="1" spans="1:3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</row>
    <row r="572" customHeight="1" spans="1:3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</row>
    <row r="573" customHeight="1" spans="1:3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</row>
    <row r="574" customHeight="1" spans="1:3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</row>
    <row r="575" customHeight="1" spans="1:3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</row>
    <row r="576" customHeight="1" spans="1:3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</row>
    <row r="577" customHeight="1" spans="1:3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</row>
    <row r="578" customHeight="1" spans="1:3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</row>
    <row r="579" customHeight="1" spans="1:3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</row>
    <row r="580" customHeight="1" spans="1:3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</row>
    <row r="581" customHeight="1" spans="1:3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</row>
    <row r="582" customHeight="1" spans="1:3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</row>
    <row r="583" customHeight="1" spans="1:3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</row>
    <row r="584" customHeight="1" spans="1:3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</row>
    <row r="585" customHeight="1" spans="1:3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</row>
    <row r="586" customHeight="1" spans="1:3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</row>
    <row r="587" customHeight="1" spans="1:3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</row>
    <row r="588" customHeight="1" spans="1:3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</row>
    <row r="589" customHeight="1" spans="1:3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</row>
    <row r="590" customHeight="1" spans="1:3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</row>
    <row r="591" customHeight="1" spans="1:3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</row>
    <row r="592" customHeight="1" spans="1:3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</row>
    <row r="593" customHeight="1" spans="1:3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</row>
    <row r="594" customHeight="1" spans="1:3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</row>
    <row r="595" customHeight="1" spans="1:3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</row>
    <row r="596" customHeight="1" spans="1:3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</row>
    <row r="597" customHeight="1" spans="1:3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</row>
    <row r="598" customHeight="1" spans="1:3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</row>
    <row r="599" customHeight="1" spans="1:3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</row>
    <row r="600" customHeight="1" spans="1:3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</row>
    <row r="601" customHeight="1" spans="1:3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</row>
    <row r="602" customHeight="1" spans="1:3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</row>
    <row r="603" customHeight="1" spans="1:3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</row>
    <row r="604" customHeight="1" spans="1:3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</row>
    <row r="605" customHeight="1" spans="1:3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</row>
    <row r="606" customHeight="1" spans="1:3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</row>
    <row r="607" customHeight="1" spans="1:3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</row>
    <row r="608" customHeight="1" spans="1:3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</row>
    <row r="609" customHeight="1" spans="1:3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</row>
    <row r="610" customHeight="1" spans="1:3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</row>
    <row r="611" customHeight="1" spans="1:3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</row>
    <row r="612" customHeight="1" spans="1:3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</row>
    <row r="613" customHeight="1" spans="1:3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</row>
    <row r="614" customHeight="1" spans="1:3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</row>
    <row r="615" customHeight="1" spans="1:3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</row>
    <row r="616" customHeight="1" spans="1:3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</row>
    <row r="617" customHeight="1" spans="1:3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</row>
    <row r="618" customHeight="1" spans="1:3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</row>
    <row r="619" customHeight="1" spans="1:3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</row>
    <row r="620" customHeight="1" spans="1:3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</row>
    <row r="621" customHeight="1" spans="1:3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</row>
    <row r="622" customHeight="1" spans="1:3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</row>
    <row r="623" customHeight="1" spans="1:3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</row>
    <row r="624" customHeight="1" spans="1:3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</row>
    <row r="625" customHeight="1" spans="1:3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</row>
    <row r="626" customHeight="1" spans="1:3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</row>
    <row r="627" customHeight="1" spans="1:3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</row>
    <row r="628" customHeight="1" spans="1:3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</row>
    <row r="629" customHeight="1" spans="1:3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</row>
    <row r="630" customHeight="1" spans="1:3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</row>
    <row r="631" customHeight="1" spans="1:3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</row>
    <row r="632" customHeight="1" spans="1:3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</row>
    <row r="633" customHeight="1" spans="1:3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</row>
    <row r="634" customHeight="1" spans="1: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</row>
    <row r="635" customHeight="1" spans="1:3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</row>
    <row r="636" customHeight="1" spans="1:3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</row>
    <row r="637" customHeight="1" spans="1:3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</row>
    <row r="638" customHeight="1" spans="1:3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</row>
    <row r="639" customHeight="1" spans="1:3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</row>
    <row r="640" customHeight="1" spans="1:3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</row>
    <row r="641" customHeight="1" spans="1:3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</row>
    <row r="642" customHeight="1" spans="1:3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</row>
    <row r="643" customHeight="1" spans="1:3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</row>
    <row r="644" customHeight="1" spans="1:3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</row>
    <row r="645" customHeight="1" spans="1:3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</row>
    <row r="646" customHeight="1" spans="1:3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</row>
    <row r="647" customHeight="1" spans="1:3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</row>
    <row r="648" customHeight="1" spans="1:3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</row>
    <row r="649" customHeight="1" spans="1:3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</row>
    <row r="650" customHeight="1" spans="1:3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</row>
    <row r="651" customHeight="1" spans="1:3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</row>
    <row r="652" customHeight="1" spans="1:3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</row>
    <row r="653" customHeight="1" spans="1:3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</row>
    <row r="654" customHeight="1" spans="1:3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</row>
    <row r="655" customHeight="1" spans="1:3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</row>
    <row r="656" customHeight="1" spans="1:3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</row>
    <row r="657" customHeight="1" spans="1:3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</row>
    <row r="658" customHeight="1" spans="1:3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</row>
    <row r="659" customHeight="1" spans="1:3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</row>
    <row r="660" customHeight="1" spans="1:3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</row>
    <row r="661" customHeight="1" spans="1:3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</row>
    <row r="662" customHeight="1" spans="1:3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</row>
    <row r="663" customHeight="1" spans="1:3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</row>
    <row r="664" customHeight="1" spans="1:3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</row>
    <row r="665" customHeight="1" spans="1:3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</row>
    <row r="666" customHeight="1" spans="1:3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</row>
    <row r="667" customHeight="1" spans="1:3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</row>
    <row r="668" customHeight="1" spans="1:3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</row>
    <row r="669" customHeight="1" spans="1:3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</row>
    <row r="670" customHeight="1" spans="1:3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</row>
    <row r="671" customHeight="1" spans="1:3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</row>
    <row r="672" customHeight="1" spans="1:3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</row>
    <row r="673" customHeight="1" spans="1:3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</row>
    <row r="674" customHeight="1" spans="1:3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</row>
    <row r="675" customHeight="1" spans="1:3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</row>
    <row r="676" customHeight="1" spans="1:3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</row>
    <row r="677" customHeight="1" spans="1:3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</row>
    <row r="678" customHeight="1" spans="1:3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</row>
    <row r="679" customHeight="1" spans="1:3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</row>
    <row r="680" customHeight="1" spans="1:3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</row>
    <row r="681" customHeight="1" spans="1:3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</row>
    <row r="682" customHeight="1" spans="1:3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</row>
    <row r="683" customHeight="1" spans="1:3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</row>
    <row r="684" customHeight="1" spans="1:3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</row>
    <row r="685" customHeight="1" spans="1:3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</row>
    <row r="686" customHeight="1" spans="1:3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</row>
    <row r="687" customHeight="1" spans="1:3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</row>
    <row r="688" customHeight="1" spans="1:3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</row>
    <row r="689" customHeight="1" spans="1:3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</row>
    <row r="690" customHeight="1" spans="1:3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</row>
    <row r="691" customHeight="1" spans="1:3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</row>
    <row r="692" customHeight="1" spans="1:3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</row>
    <row r="693" customHeight="1" spans="1:3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</row>
    <row r="694" customHeight="1" spans="1:3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</row>
    <row r="695" customHeight="1" spans="1:3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</row>
    <row r="696" customHeight="1" spans="1:3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</row>
    <row r="697" customHeight="1" spans="1:3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</row>
    <row r="698" customHeight="1" spans="1:3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</row>
    <row r="699" customHeight="1" spans="1:3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</row>
    <row r="700" customHeight="1" spans="1:3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</row>
    <row r="701" customHeight="1" spans="1:3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</row>
    <row r="702" customHeight="1" spans="1:3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</row>
    <row r="703" customHeight="1" spans="1:3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</row>
    <row r="704" customHeight="1" spans="1:3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</row>
    <row r="705" customHeight="1" spans="1:3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</row>
    <row r="706" customHeight="1" spans="1:3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</row>
    <row r="707" customHeight="1" spans="1:3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</row>
    <row r="708" customHeight="1" spans="1:3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</row>
    <row r="709" customHeight="1" spans="1:3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</row>
    <row r="710" customHeight="1" spans="1:3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</row>
    <row r="711" customHeight="1" spans="1:3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</row>
    <row r="712" customHeight="1" spans="1:3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</row>
    <row r="713" customHeight="1" spans="1:3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</row>
    <row r="714" customHeight="1" spans="1:3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</row>
    <row r="715" customHeight="1" spans="1:3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</row>
    <row r="716" customHeight="1" spans="1:3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</row>
    <row r="717" customHeight="1" spans="1:3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</row>
    <row r="718" customHeight="1" spans="1:3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</row>
    <row r="719" customHeight="1" spans="1:3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</row>
    <row r="720" customHeight="1" spans="1:3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</row>
    <row r="721" customHeight="1" spans="1:3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</row>
    <row r="722" customHeight="1" spans="1:3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</row>
    <row r="723" customHeight="1" spans="1:3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</row>
    <row r="724" customHeight="1" spans="1:3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</row>
    <row r="725" customHeight="1" spans="1:3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</row>
    <row r="726" customHeight="1" spans="1:3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</row>
    <row r="727" customHeight="1" spans="1:3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</row>
    <row r="728" customHeight="1" spans="1:3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</row>
    <row r="729" customHeight="1" spans="1:3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</row>
    <row r="730" customHeight="1" spans="1:3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</row>
    <row r="731" customHeight="1" spans="1:3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</row>
    <row r="732" customHeight="1" spans="1:3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</row>
    <row r="733" customHeight="1" spans="1:3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</row>
    <row r="734" customHeight="1" spans="1: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</row>
    <row r="735" customHeight="1" spans="1:3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</row>
    <row r="736" customHeight="1" spans="1:3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</row>
    <row r="737" customHeight="1" spans="1:3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</row>
    <row r="738" customHeight="1" spans="1:3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</row>
    <row r="739" customHeight="1" spans="1:3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</row>
    <row r="740" customHeight="1" spans="1:3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</row>
    <row r="741" customHeight="1" spans="1:3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</row>
    <row r="742" customHeight="1" spans="1:3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</row>
    <row r="743" customHeight="1" spans="1:3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</row>
    <row r="744" customHeight="1" spans="1:3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</row>
    <row r="745" customHeight="1" spans="1:3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</row>
    <row r="746" customHeight="1" spans="1:3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</row>
    <row r="747" customHeight="1" spans="1:3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</row>
    <row r="748" customHeight="1" spans="1:3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</row>
    <row r="749" customHeight="1" spans="1:3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</row>
    <row r="750" customHeight="1" spans="1:3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</row>
    <row r="751" customHeight="1" spans="1:3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</row>
    <row r="752" customHeight="1" spans="1:3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</row>
    <row r="753" customHeight="1" spans="1:3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</row>
    <row r="754" customHeight="1" spans="1:3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</row>
    <row r="755" customHeight="1" spans="1:3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</row>
    <row r="756" customHeight="1" spans="1:3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</row>
    <row r="757" customHeight="1" spans="1:3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</row>
    <row r="758" customHeight="1" spans="1:3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</row>
    <row r="759" customHeight="1" spans="1:3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</row>
    <row r="760" customHeight="1" spans="1:3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</row>
    <row r="761" customHeight="1" spans="1:3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</row>
    <row r="762" customHeight="1" spans="1:3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</row>
    <row r="763" customHeight="1" spans="1:3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</row>
    <row r="764" customHeight="1" spans="1:3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</row>
    <row r="765" customHeight="1" spans="1:3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</row>
    <row r="766" customHeight="1" spans="1:3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</row>
    <row r="767" customHeight="1" spans="1:3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</row>
    <row r="768" customHeight="1" spans="1:3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</row>
    <row r="769" customHeight="1" spans="1:3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</row>
    <row r="770" customHeight="1" spans="1:3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</row>
    <row r="771" customHeight="1" spans="1:3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</row>
    <row r="772" customHeight="1" spans="1:3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</row>
    <row r="773" customHeight="1" spans="1:3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</row>
    <row r="774" customHeight="1" spans="1:3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</row>
    <row r="775" customHeight="1" spans="1:3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</row>
    <row r="776" customHeight="1" spans="1:3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</row>
    <row r="777" customHeight="1" spans="1:3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</row>
    <row r="778" customHeight="1" spans="1:3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</row>
    <row r="779" customHeight="1" spans="1:3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</row>
    <row r="780" customHeight="1" spans="1:3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</row>
    <row r="781" customHeight="1" spans="1:3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</row>
    <row r="782" customHeight="1" spans="1:3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</row>
    <row r="783" customHeight="1" spans="1:3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</row>
    <row r="784" customHeight="1" spans="1:3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</row>
    <row r="785" customHeight="1" spans="1:3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</row>
    <row r="786" customHeight="1" spans="1:3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</row>
    <row r="787" customHeight="1" spans="1:3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</row>
    <row r="788" customHeight="1" spans="1:3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</row>
    <row r="789" customHeight="1" spans="1:3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</row>
    <row r="790" customHeight="1" spans="1:3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</row>
    <row r="791" customHeight="1" spans="1:3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</row>
    <row r="792" customHeight="1" spans="1:3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</row>
    <row r="793" customHeight="1" spans="1:3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</row>
    <row r="794" customHeight="1" spans="1:3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</row>
    <row r="795" customHeight="1" spans="1:3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</row>
    <row r="796" customHeight="1" spans="1:3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</row>
    <row r="797" customHeight="1" spans="1:3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</row>
    <row r="798" customHeight="1" spans="1:3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</row>
    <row r="799" customHeight="1" spans="1:3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</row>
    <row r="800" customHeight="1" spans="1:3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</row>
    <row r="801" customHeight="1" spans="1:3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</row>
    <row r="802" customHeight="1" spans="1:3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</row>
    <row r="803" customHeight="1" spans="1:3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</row>
    <row r="804" customHeight="1" spans="1:3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</row>
    <row r="805" customHeight="1" spans="1:3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</row>
    <row r="806" customHeight="1" spans="1:3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</row>
    <row r="807" customHeight="1" spans="1:3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</row>
    <row r="808" customHeight="1" spans="1:3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</row>
    <row r="809" customHeight="1" spans="1:3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</row>
    <row r="810" customHeight="1" spans="1:3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</row>
    <row r="811" customHeight="1" spans="1:3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</row>
    <row r="812" customHeight="1" spans="1:3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</row>
    <row r="813" customHeight="1" spans="1:3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</row>
    <row r="814" customHeight="1" spans="1:3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</row>
    <row r="815" customHeight="1" spans="1:3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</row>
    <row r="816" customHeight="1" spans="1:3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</row>
    <row r="817" customHeight="1" spans="1:3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</row>
    <row r="818" customHeight="1" spans="1:3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</row>
    <row r="819" customHeight="1" spans="1:3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</row>
    <row r="820" customHeight="1" spans="1:3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</row>
    <row r="821" customHeight="1" spans="1:3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</row>
    <row r="822" customHeight="1" spans="1:3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</row>
    <row r="823" customHeight="1" spans="1:3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</row>
    <row r="824" customHeight="1" spans="1:3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</row>
    <row r="825" customHeight="1" spans="1:3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</row>
    <row r="826" customHeight="1" spans="1:3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</row>
    <row r="827" customHeight="1" spans="1:3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</row>
    <row r="828" customHeight="1" spans="1:3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</row>
    <row r="829" customHeight="1" spans="1:3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</row>
    <row r="830" customHeight="1" spans="1:3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</row>
    <row r="831" customHeight="1" spans="1:3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</row>
    <row r="832" customHeight="1" spans="1:3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</row>
    <row r="833" customHeight="1" spans="1:3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</row>
    <row r="834" customHeight="1" spans="1: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</row>
    <row r="835" customHeight="1" spans="1:3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</row>
    <row r="836" customHeight="1" spans="1:3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</row>
    <row r="837" customHeight="1" spans="1:3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</row>
    <row r="838" customHeight="1" spans="1:3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</row>
    <row r="839" customHeight="1" spans="1:3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</row>
    <row r="840" customHeight="1" spans="1:3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</row>
    <row r="841" customHeight="1" spans="1:3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</row>
    <row r="842" customHeight="1" spans="1:3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</row>
    <row r="843" customHeight="1" spans="1:3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</row>
    <row r="844" customHeight="1" spans="1:3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</row>
    <row r="845" customHeight="1" spans="1:3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</row>
    <row r="846" customHeight="1" spans="1:3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</row>
    <row r="847" customHeight="1" spans="1:3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</row>
    <row r="848" customHeight="1" spans="1:3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</row>
    <row r="849" customHeight="1" spans="1:3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</row>
    <row r="850" customHeight="1" spans="1:3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</row>
    <row r="851" customHeight="1" spans="1:3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</row>
    <row r="852" customHeight="1" spans="1:3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</row>
    <row r="853" customHeight="1" spans="1:3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</row>
    <row r="854" customHeight="1" spans="1:3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</row>
    <row r="855" customHeight="1" spans="1:3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</row>
    <row r="856" customHeight="1" spans="1:3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</row>
    <row r="857" customHeight="1" spans="1:3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</row>
    <row r="858" customHeight="1" spans="1:3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</row>
    <row r="859" customHeight="1" spans="1:3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</row>
    <row r="860" customHeight="1" spans="1:3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</row>
    <row r="861" customHeight="1" spans="1:3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</row>
    <row r="862" customHeight="1" spans="1:3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</row>
    <row r="863" customHeight="1" spans="1:3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</row>
    <row r="864" customHeight="1" spans="1:3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</row>
    <row r="865" customHeight="1" spans="1:3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</row>
    <row r="866" customHeight="1" spans="1:3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</row>
    <row r="867" customHeight="1" spans="1:3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</row>
    <row r="868" customHeight="1" spans="1:3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</row>
    <row r="869" customHeight="1" spans="1:3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</row>
    <row r="870" customHeight="1" spans="1:3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</row>
    <row r="871" customHeight="1" spans="1:3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</row>
    <row r="872" customHeight="1" spans="1:3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</row>
    <row r="873" customHeight="1" spans="1:3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</row>
    <row r="874" customHeight="1" spans="1:3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</row>
    <row r="875" customHeight="1" spans="1:3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</row>
    <row r="876" customHeight="1" spans="1:3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</row>
    <row r="877" customHeight="1" spans="1:3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</row>
    <row r="878" customHeight="1" spans="1:3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</row>
    <row r="879" customHeight="1" spans="1:3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</row>
    <row r="880" customHeight="1" spans="1:3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</row>
    <row r="881" customHeight="1" spans="1:3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</row>
    <row r="882" customHeight="1" spans="1:3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</row>
    <row r="883" customHeight="1" spans="1:3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</row>
    <row r="884" customHeight="1" spans="1:3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</row>
    <row r="885" customHeight="1" spans="1:3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</row>
    <row r="886" customHeight="1" spans="1:3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</row>
    <row r="887" customHeight="1" spans="1:3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</row>
    <row r="888" customHeight="1" spans="1:3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</row>
    <row r="889" customHeight="1" spans="1:3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</row>
    <row r="890" customHeight="1" spans="1:3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</row>
    <row r="891" customHeight="1" spans="1:3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</row>
    <row r="892" customHeight="1" spans="1:3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</row>
    <row r="893" customHeight="1" spans="1:3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</row>
    <row r="894" customHeight="1" spans="1:3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</row>
    <row r="895" customHeight="1" spans="1:3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</row>
    <row r="896" customHeight="1" spans="1:3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</row>
    <row r="897" customHeight="1" spans="1:3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</row>
    <row r="898" customHeight="1" spans="1:3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</row>
    <row r="899" customHeight="1" spans="1:3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</row>
    <row r="900" customHeight="1" spans="1:3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</row>
    <row r="901" customHeight="1" spans="1:3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</row>
    <row r="902" customHeight="1" spans="1:3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</row>
    <row r="903" customHeight="1" spans="1:3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</row>
    <row r="904" customHeight="1" spans="1:3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</row>
    <row r="905" customHeight="1" spans="1:3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</row>
    <row r="906" customHeight="1" spans="1:3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</row>
    <row r="907" customHeight="1" spans="1:3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</row>
    <row r="908" customHeight="1" spans="1:3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</row>
    <row r="909" customHeight="1" spans="1:3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</row>
    <row r="910" customHeight="1" spans="1:3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</row>
    <row r="911" customHeight="1" spans="1:3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</row>
    <row r="912" customHeight="1" spans="1:3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</row>
    <row r="913" customHeight="1" spans="1:3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</row>
    <row r="914" customHeight="1" spans="1:3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</row>
    <row r="915" customHeight="1" spans="1:3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</row>
    <row r="916" customHeight="1" spans="1:3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</row>
    <row r="917" customHeight="1" spans="1:3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</row>
    <row r="918" customHeight="1" spans="1:3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</row>
    <row r="919" customHeight="1" spans="1:3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</row>
    <row r="920" customHeight="1" spans="1:3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</row>
    <row r="921" customHeight="1" spans="1:3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</row>
    <row r="922" customHeight="1" spans="1:3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</row>
    <row r="923" customHeight="1" spans="1:3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</row>
    <row r="924" customHeight="1" spans="1:3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</row>
    <row r="925" customHeight="1" spans="1:3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</row>
    <row r="926" customHeight="1" spans="1:3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</row>
    <row r="927" customHeight="1" spans="1:3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</row>
    <row r="928" customHeight="1" spans="1:3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</row>
    <row r="929" customHeight="1" spans="1:3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</row>
    <row r="930" customHeight="1" spans="1:3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</row>
    <row r="931" customHeight="1" spans="1:3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</row>
    <row r="932" customHeight="1" spans="1:3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</row>
    <row r="933" customHeight="1" spans="1:3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</row>
    <row r="934" customHeight="1" spans="1: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</row>
    <row r="935" customHeight="1" spans="1:3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</row>
    <row r="936" customHeight="1" spans="1:3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</row>
    <row r="937" customHeight="1" spans="1:3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</row>
    <row r="938" customHeight="1" spans="1:3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</row>
    <row r="939" customHeight="1" spans="1:3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</row>
    <row r="940" customHeight="1" spans="1:3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</row>
    <row r="941" customHeight="1" spans="1:3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</row>
    <row r="942" customHeight="1" spans="1:3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</row>
    <row r="943" customHeight="1" spans="1:3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</row>
    <row r="944" customHeight="1" spans="1:3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</row>
    <row r="945" customHeight="1" spans="1:3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</row>
    <row r="946" customHeight="1" spans="1:3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</row>
    <row r="947" customHeight="1" spans="1:3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</row>
    <row r="948" customHeight="1" spans="1:3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</row>
    <row r="949" customHeight="1" spans="1:3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</row>
    <row r="950" customHeight="1" spans="1:3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</row>
    <row r="951" customHeight="1" spans="1:3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</row>
    <row r="952" customHeight="1" spans="1:3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</row>
    <row r="953" customHeight="1" spans="1:3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</row>
    <row r="954" customHeight="1" spans="1:3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</row>
    <row r="955" customHeight="1" spans="1:3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</row>
    <row r="956" customHeight="1" spans="1:3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</row>
    <row r="957" customHeight="1" spans="1:3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</row>
    <row r="958" customHeight="1" spans="1:3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</row>
    <row r="959" customHeight="1" spans="1:3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</row>
    <row r="960" customHeight="1" spans="1:3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</row>
    <row r="961" customHeight="1" spans="1:3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</row>
    <row r="962" customHeight="1" spans="1:3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</row>
    <row r="963" customHeight="1" spans="1:3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</row>
    <row r="964" customHeight="1" spans="1:3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</row>
    <row r="965" customHeight="1" spans="1:3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</row>
    <row r="966" customHeight="1" spans="1:3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</row>
    <row r="967" customHeight="1" spans="1:3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</row>
    <row r="968" customHeight="1" spans="1:3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</row>
    <row r="969" customHeight="1" spans="1:3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</row>
    <row r="970" customHeight="1" spans="1:3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</row>
    <row r="971" customHeight="1" spans="1:3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</row>
    <row r="972" customHeight="1" spans="1:3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</row>
    <row r="973" customHeight="1" spans="1:3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</row>
    <row r="974" customHeight="1" spans="1:3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</row>
    <row r="975" customHeight="1" spans="1:3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</row>
    <row r="976" customHeight="1" spans="1:3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</row>
    <row r="977" customHeight="1" spans="1:3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</row>
    <row r="978" customHeight="1" spans="1:3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</row>
    <row r="979" customHeight="1" spans="1:3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</row>
    <row r="980" customHeight="1" spans="1:3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</row>
    <row r="981" customHeight="1" spans="1:3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</row>
    <row r="982" customHeight="1" spans="1:3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</row>
    <row r="983" customHeight="1" spans="1:3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</row>
    <row r="984" customHeight="1" spans="1:3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</row>
    <row r="985" customHeight="1" spans="1:3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</row>
    <row r="986" customHeight="1" spans="1:3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</row>
    <row r="987" customHeight="1" spans="1:3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</row>
    <row r="988" customHeight="1" spans="1:3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</row>
    <row r="989" customHeight="1" spans="1:3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</row>
    <row r="990" customHeight="1" spans="1:3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</row>
    <row r="991" customHeight="1" spans="1:3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</row>
    <row r="992" customHeight="1" spans="1:3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</row>
    <row r="993" customHeight="1" spans="1:3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</row>
    <row r="994" customHeight="1" spans="1:3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</row>
    <row r="995" customHeight="1" spans="1:3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</row>
    <row r="996" customHeight="1" spans="1:3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</row>
    <row r="997" customHeight="1" spans="1:3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</row>
    <row r="998" customHeight="1" spans="1:3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</row>
    <row r="999" customHeight="1" spans="1:3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</row>
    <row r="1000" customHeight="1" spans="1:3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</row>
    <row r="1001" customHeight="1" spans="1:34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</row>
    <row r="1002" customHeight="1" spans="1:34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</row>
    <row r="1003" customHeight="1" spans="1:34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</row>
    <row r="1004" customHeight="1" spans="1:3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</row>
    <row r="1005" customHeight="1" spans="1:34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</row>
    <row r="1006" customHeight="1" spans="1:34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</row>
    <row r="1007" customHeight="1" spans="1:34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</row>
    <row r="1008" customHeight="1" spans="1:34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</row>
    <row r="1009" customHeight="1" spans="1:34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</row>
    <row r="1010" customHeight="1" spans="1:34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</row>
    <row r="1011" customHeight="1" spans="1:34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</row>
    <row r="1012" customHeight="1" spans="1:34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</row>
    <row r="1013" customHeight="1" spans="1:34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</row>
    <row r="1014" customHeight="1" spans="1:3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</row>
    <row r="1015" customHeight="1" spans="1:34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</row>
    <row r="1016" customHeight="1" spans="1:34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</row>
    <row r="1017" customHeight="1" spans="1:34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</row>
    <row r="1018" customHeight="1" spans="1:34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</row>
    <row r="1019" customHeight="1" spans="1:34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</row>
    <row r="1020" customHeight="1" spans="1:34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</row>
    <row r="1021" customHeight="1" spans="1:34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</row>
    <row r="1022" customHeight="1" spans="1:34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</row>
    <row r="1023" customHeight="1" spans="1:34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</row>
    <row r="1024" customHeight="1" spans="1:3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</row>
    <row r="1025" customHeight="1" spans="1:34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</row>
    <row r="1026" customHeight="1" spans="1:34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</row>
    <row r="1027" customHeight="1" spans="1:34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</row>
    <row r="1028" customHeight="1" spans="1:34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</row>
    <row r="1029" customHeight="1" spans="1:34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</row>
    <row r="1030" customHeight="1" spans="1:34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</row>
    <row r="1031" customHeight="1" spans="1:34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</row>
    <row r="1032" customHeight="1" spans="1:34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</row>
    <row r="1033" customHeight="1" spans="1:34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</row>
    <row r="1034" customHeight="1" spans="1: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</row>
    <row r="1035" customHeight="1" spans="1:34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</row>
    <row r="1036" customHeight="1" spans="1:34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</row>
    <row r="1037" customHeight="1" spans="1:34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1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1014"/>
  <sheetViews>
    <sheetView workbookViewId="0">
      <selection activeCell="A1" sqref="A1"/>
    </sheetView>
  </sheetViews>
  <sheetFormatPr defaultColWidth="12.6296296296296" defaultRowHeight="15.75" customHeight="1"/>
  <sheetData>
    <row r="1" customHeight="1" spans="1:3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customHeight="1" spans="1:33">
      <c r="A2" s="6" t="s">
        <v>103</v>
      </c>
      <c r="B2" s="5"/>
      <c r="C2" s="5"/>
      <c r="D2" s="5"/>
      <c r="E2" s="5"/>
      <c r="F2" s="5"/>
      <c r="G2" s="5"/>
      <c r="H2" s="5"/>
      <c r="I2" s="5"/>
      <c r="J2" s="5"/>
      <c r="K2" s="6" t="s">
        <v>195</v>
      </c>
      <c r="L2" s="5"/>
      <c r="M2" s="5"/>
      <c r="N2" s="5"/>
      <c r="O2" s="5"/>
      <c r="P2" s="5"/>
      <c r="Q2" s="5"/>
      <c r="R2" s="5"/>
      <c r="S2" s="5"/>
      <c r="T2" s="6" t="s">
        <v>103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customHeight="1" spans="1:33">
      <c r="A3" s="7" t="s">
        <v>334</v>
      </c>
      <c r="B3" s="5"/>
      <c r="D3" s="5"/>
      <c r="E3" s="1" t="s">
        <v>197</v>
      </c>
      <c r="G3" s="5"/>
      <c r="H3" s="5"/>
      <c r="I3" s="5"/>
      <c r="J3" s="5"/>
      <c r="K3" s="7" t="s">
        <v>282</v>
      </c>
      <c r="L3" s="5"/>
      <c r="M3" s="5"/>
      <c r="N3" s="5"/>
      <c r="O3" s="5"/>
      <c r="P3" s="1" t="s">
        <v>197</v>
      </c>
      <c r="Q3" s="5"/>
      <c r="R3" s="5"/>
      <c r="S3" s="5"/>
      <c r="T3" s="7" t="s">
        <v>831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customHeight="1" spans="1:33">
      <c r="A4" s="1" t="s">
        <v>151</v>
      </c>
      <c r="B4" s="5"/>
      <c r="C4" s="5"/>
      <c r="D4" s="5"/>
      <c r="E4" s="5"/>
      <c r="F4" s="5"/>
      <c r="G4" s="5"/>
      <c r="H4" s="5"/>
      <c r="I4" s="5"/>
      <c r="J4" s="5"/>
      <c r="K4" s="1" t="s">
        <v>516</v>
      </c>
      <c r="L4" s="5"/>
      <c r="M4" s="5"/>
      <c r="N4" s="5"/>
      <c r="O4" s="5"/>
      <c r="P4" s="5"/>
      <c r="Q4" s="5"/>
      <c r="R4" s="5"/>
      <c r="S4" s="5"/>
      <c r="T4" s="1" t="s">
        <v>832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customHeight="1" spans="1:33">
      <c r="A5" s="7" t="s">
        <v>150</v>
      </c>
      <c r="B5" s="5"/>
      <c r="C5" s="5"/>
      <c r="D5" s="5"/>
      <c r="E5" s="1" t="s">
        <v>132</v>
      </c>
      <c r="F5" s="5"/>
      <c r="G5" s="5"/>
      <c r="H5" s="5"/>
      <c r="I5" s="5"/>
      <c r="J5" s="5"/>
      <c r="K5" s="7" t="s">
        <v>286</v>
      </c>
      <c r="L5" s="5"/>
      <c r="M5" s="5"/>
      <c r="N5" s="5"/>
      <c r="O5" s="5"/>
      <c r="P5" s="1" t="s">
        <v>132</v>
      </c>
      <c r="Q5" s="5"/>
      <c r="R5" s="5"/>
      <c r="S5" s="5"/>
      <c r="T5" s="7" t="s">
        <v>833</v>
      </c>
      <c r="Y5" s="5"/>
      <c r="Z5" s="5"/>
      <c r="AA5" s="5"/>
      <c r="AB5" s="5"/>
      <c r="AC5" s="5"/>
      <c r="AD5" s="5"/>
      <c r="AE5" s="5"/>
      <c r="AF5" s="5"/>
      <c r="AG5" s="5"/>
    </row>
    <row r="6" customHeight="1" spans="1:33">
      <c r="A6" s="1" t="s">
        <v>154</v>
      </c>
      <c r="B6" s="5"/>
      <c r="C6" s="5"/>
      <c r="D6" s="5"/>
      <c r="E6" s="5"/>
      <c r="F6" s="5"/>
      <c r="G6" s="5"/>
      <c r="H6" s="5"/>
      <c r="I6" s="5"/>
      <c r="J6" s="5"/>
      <c r="K6" s="1" t="s">
        <v>99</v>
      </c>
      <c r="L6" s="5"/>
      <c r="M6" s="5"/>
      <c r="N6" s="5"/>
      <c r="O6" s="5"/>
      <c r="P6" s="5"/>
      <c r="Q6" s="5"/>
      <c r="R6" s="5"/>
      <c r="S6" s="5"/>
      <c r="T6" s="1" t="s">
        <v>283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customHeight="1" spans="1:33">
      <c r="A7" s="7" t="s">
        <v>157</v>
      </c>
      <c r="C7" s="5"/>
      <c r="D7" s="5"/>
      <c r="E7" s="1" t="s">
        <v>132</v>
      </c>
      <c r="F7" s="5"/>
      <c r="G7" s="5"/>
      <c r="H7" s="5"/>
      <c r="I7" s="5"/>
      <c r="J7" s="5"/>
      <c r="K7" s="7" t="s">
        <v>220</v>
      </c>
      <c r="L7" s="5"/>
      <c r="M7" s="5"/>
      <c r="N7" s="5"/>
      <c r="O7" s="5"/>
      <c r="P7" s="1" t="s">
        <v>132</v>
      </c>
      <c r="Q7" s="5"/>
      <c r="R7" s="5"/>
      <c r="S7" s="5"/>
      <c r="T7" s="7" t="s">
        <v>834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customHeight="1" spans="1:33">
      <c r="A8" s="1" t="s">
        <v>438</v>
      </c>
      <c r="B8" s="5"/>
      <c r="C8" s="5"/>
      <c r="D8" s="5"/>
      <c r="E8" s="5"/>
      <c r="F8" s="5"/>
      <c r="G8" s="5"/>
      <c r="H8" s="5"/>
      <c r="I8" s="5"/>
      <c r="J8" s="5"/>
      <c r="K8" s="1" t="s">
        <v>699</v>
      </c>
      <c r="L8" s="5"/>
      <c r="M8" s="5"/>
      <c r="N8" s="5"/>
      <c r="O8" s="5"/>
      <c r="P8" s="5"/>
      <c r="Q8" s="5"/>
      <c r="R8" s="5"/>
      <c r="S8" s="5"/>
      <c r="T8" s="1" t="s">
        <v>835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customHeight="1" spans="2:33">
      <c r="B9" s="7" t="s">
        <v>508</v>
      </c>
      <c r="C9" s="5"/>
      <c r="D9" s="5"/>
      <c r="E9" s="1" t="s">
        <v>652</v>
      </c>
      <c r="F9" s="5"/>
      <c r="G9" s="5"/>
      <c r="H9" s="5"/>
      <c r="I9" s="5"/>
      <c r="J9" s="5"/>
      <c r="L9" s="7" t="s">
        <v>209</v>
      </c>
      <c r="M9" s="5"/>
      <c r="N9" s="5"/>
      <c r="O9" s="5"/>
      <c r="P9" s="1" t="s">
        <v>652</v>
      </c>
      <c r="Q9" s="5"/>
      <c r="R9" s="5"/>
      <c r="S9" s="5"/>
      <c r="U9" s="7" t="s">
        <v>836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customHeight="1" spans="2:33">
      <c r="B10" s="7" t="s">
        <v>340</v>
      </c>
      <c r="C10" s="5"/>
      <c r="D10" s="5"/>
      <c r="E10" s="1" t="s">
        <v>265</v>
      </c>
      <c r="F10" s="5"/>
      <c r="G10" s="5"/>
      <c r="H10" s="5"/>
      <c r="I10" s="5"/>
      <c r="J10" s="5"/>
      <c r="L10" s="7" t="s">
        <v>837</v>
      </c>
      <c r="M10" s="5"/>
      <c r="N10" s="5"/>
      <c r="O10" s="5"/>
      <c r="P10" s="1" t="s">
        <v>265</v>
      </c>
      <c r="Q10" s="5"/>
      <c r="R10" s="5"/>
      <c r="S10" s="5"/>
      <c r="T10" s="5"/>
      <c r="U10" s="7" t="s">
        <v>838</v>
      </c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customHeight="1" spans="2:33">
      <c r="B11" s="1" t="s">
        <v>169</v>
      </c>
      <c r="C11" s="5"/>
      <c r="D11" s="5"/>
      <c r="E11" s="5"/>
      <c r="F11" s="5"/>
      <c r="G11" s="5"/>
      <c r="H11" s="5"/>
      <c r="I11" s="5"/>
      <c r="J11" s="5"/>
      <c r="L11" s="1" t="s">
        <v>704</v>
      </c>
      <c r="M11" s="5"/>
      <c r="N11" s="5"/>
      <c r="O11" s="5"/>
      <c r="P11" s="5"/>
      <c r="Q11" s="5"/>
      <c r="R11" s="5"/>
      <c r="S11" s="5"/>
      <c r="U11" s="1" t="s">
        <v>391</v>
      </c>
      <c r="AC11" s="5"/>
      <c r="AD11" s="5"/>
      <c r="AE11" s="5"/>
      <c r="AF11" s="5"/>
      <c r="AG11" s="5"/>
    </row>
    <row r="12" customHeight="1" spans="2:33">
      <c r="B12" s="7" t="s">
        <v>342</v>
      </c>
      <c r="C12" s="5"/>
      <c r="D12" s="5"/>
      <c r="E12" s="1" t="s">
        <v>132</v>
      </c>
      <c r="F12" s="5"/>
      <c r="G12" s="5"/>
      <c r="H12" s="5"/>
      <c r="I12" s="5"/>
      <c r="J12" s="5"/>
      <c r="L12" s="7" t="s">
        <v>839</v>
      </c>
      <c r="M12" s="5"/>
      <c r="N12" s="5"/>
      <c r="O12" s="5"/>
      <c r="P12" s="1" t="s">
        <v>132</v>
      </c>
      <c r="Q12" s="5"/>
      <c r="R12" s="5"/>
      <c r="S12" s="5"/>
      <c r="U12" s="7" t="s">
        <v>840</v>
      </c>
      <c r="AC12" s="5"/>
      <c r="AD12" s="5"/>
      <c r="AE12" s="5"/>
      <c r="AF12" s="5"/>
      <c r="AG12" s="5"/>
    </row>
    <row r="13" customHeight="1" spans="2:33">
      <c r="B13" s="1" t="s">
        <v>441</v>
      </c>
      <c r="C13" s="5"/>
      <c r="D13" s="5"/>
      <c r="E13" s="5"/>
      <c r="F13" s="5"/>
      <c r="G13" s="5"/>
      <c r="H13" s="5"/>
      <c r="I13" s="5"/>
      <c r="J13" s="5"/>
      <c r="L13" s="1" t="s">
        <v>523</v>
      </c>
      <c r="M13" s="5"/>
      <c r="N13" s="5"/>
      <c r="O13" s="5"/>
      <c r="P13" s="5"/>
      <c r="Q13" s="5"/>
      <c r="R13" s="5"/>
      <c r="S13" s="5"/>
      <c r="U13" s="1" t="s">
        <v>841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customHeight="1" spans="1:33">
      <c r="A14" s="5"/>
      <c r="B14" s="7" t="s">
        <v>157</v>
      </c>
      <c r="C14" s="5"/>
      <c r="D14" s="5"/>
      <c r="E14" s="1" t="s">
        <v>132</v>
      </c>
      <c r="F14" s="5"/>
      <c r="G14" s="5"/>
      <c r="H14" s="5"/>
      <c r="I14" s="5"/>
      <c r="J14" s="5"/>
      <c r="L14" s="7" t="s">
        <v>220</v>
      </c>
      <c r="M14" s="5"/>
      <c r="N14" s="5"/>
      <c r="O14" s="5"/>
      <c r="P14" s="1" t="s">
        <v>132</v>
      </c>
      <c r="Q14" s="5"/>
      <c r="R14" s="5"/>
      <c r="S14" s="5"/>
      <c r="T14" s="5"/>
      <c r="V14" s="7" t="s">
        <v>842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customHeight="1" spans="1:33">
      <c r="A15" s="1" t="s">
        <v>173</v>
      </c>
      <c r="B15" s="5"/>
      <c r="C15" s="5"/>
      <c r="D15" s="5"/>
      <c r="E15" s="5"/>
      <c r="F15" s="5"/>
      <c r="G15" s="5"/>
      <c r="H15" s="5"/>
      <c r="I15" s="5"/>
      <c r="J15" s="5"/>
      <c r="K15" s="1" t="s">
        <v>173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7" t="s">
        <v>843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customHeight="1" spans="1:33">
      <c r="A16" s="7" t="s">
        <v>617</v>
      </c>
      <c r="B16" s="5"/>
      <c r="C16" s="5"/>
      <c r="D16" s="5"/>
      <c r="E16" s="1" t="s">
        <v>278</v>
      </c>
      <c r="F16" s="5"/>
      <c r="G16" s="5"/>
      <c r="H16" s="5"/>
      <c r="I16" s="5"/>
      <c r="J16" s="5"/>
      <c r="K16" s="7" t="s">
        <v>844</v>
      </c>
      <c r="L16" s="5"/>
      <c r="M16" s="5"/>
      <c r="N16" s="5"/>
      <c r="O16" s="5"/>
      <c r="P16" s="1" t="s">
        <v>278</v>
      </c>
      <c r="Q16" s="5"/>
      <c r="R16" s="5"/>
      <c r="S16" s="5"/>
      <c r="V16" s="1" t="s">
        <v>845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customHeight="1" spans="1:33">
      <c r="A17" s="5"/>
      <c r="B17" s="5"/>
      <c r="C17" s="5"/>
      <c r="D17" s="5"/>
      <c r="E17" s="5"/>
      <c r="F17" s="5"/>
      <c r="G17" s="5"/>
      <c r="H17" s="5"/>
      <c r="I17" s="5"/>
      <c r="J17" s="5"/>
      <c r="K17" s="7" t="s">
        <v>226</v>
      </c>
      <c r="L17" s="5"/>
      <c r="M17" s="5"/>
      <c r="N17" s="5"/>
      <c r="O17" s="5"/>
      <c r="P17" s="1" t="s">
        <v>197</v>
      </c>
      <c r="Q17" s="5"/>
      <c r="R17" s="5"/>
      <c r="S17" s="5"/>
      <c r="U17" s="5"/>
      <c r="V17" s="1" t="s">
        <v>846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customHeight="1" spans="1:33">
      <c r="A18" s="6" t="s">
        <v>104</v>
      </c>
      <c r="B18" s="5"/>
      <c r="C18" s="5"/>
      <c r="D18" s="5"/>
      <c r="E18" s="1" t="s">
        <v>197</v>
      </c>
      <c r="F18" s="5"/>
      <c r="G18" s="5"/>
      <c r="H18" s="5"/>
      <c r="I18" s="5"/>
      <c r="J18" s="5"/>
      <c r="K18" s="6" t="s">
        <v>104</v>
      </c>
      <c r="L18" s="5"/>
      <c r="M18" s="5"/>
      <c r="N18" s="5"/>
      <c r="O18" s="5"/>
      <c r="P18" s="1" t="s">
        <v>197</v>
      </c>
      <c r="Q18" s="5"/>
      <c r="R18" s="5"/>
      <c r="S18" s="5"/>
      <c r="V18" s="7" t="s">
        <v>847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customHeight="1" spans="2:3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U19" s="1" t="s">
        <v>173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customHeight="1" spans="1:3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U20" s="7" t="s">
        <v>848</v>
      </c>
      <c r="V20" s="5"/>
      <c r="Y20" s="5"/>
      <c r="Z20" s="5"/>
      <c r="AA20" s="5"/>
      <c r="AB20" s="5"/>
      <c r="AC20" s="5"/>
      <c r="AD20" s="5"/>
      <c r="AE20" s="5"/>
      <c r="AF20" s="5"/>
      <c r="AG20" s="5"/>
    </row>
    <row r="21" customHeight="1" spans="1:3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1" t="s">
        <v>173</v>
      </c>
      <c r="U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customHeight="1" spans="1:3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8"/>
      <c r="M22" s="5"/>
      <c r="N22" s="5"/>
      <c r="O22" s="5"/>
      <c r="P22" s="5"/>
      <c r="Q22" s="5"/>
      <c r="R22" s="5"/>
      <c r="S22" s="5"/>
      <c r="T22" s="7" t="s">
        <v>849</v>
      </c>
      <c r="U22" s="5"/>
      <c r="V22" s="5"/>
      <c r="W22" s="5"/>
      <c r="X22" s="5"/>
      <c r="Y22" s="5"/>
      <c r="AA22" s="5"/>
      <c r="AB22" s="5"/>
      <c r="AC22" s="5"/>
      <c r="AD22" s="5"/>
      <c r="AE22" s="5"/>
      <c r="AF22" s="5"/>
      <c r="AG22" s="5"/>
    </row>
    <row r="23" customHeight="1" spans="1:3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1" t="s">
        <v>850</v>
      </c>
      <c r="T23" s="9" t="s">
        <v>851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customHeight="1" spans="1:3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customHeight="1" spans="1:3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6" t="s">
        <v>852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customHeight="1" spans="1:3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customHeight="1" spans="1:3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customHeight="1" spans="1:3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customHeight="1" spans="1:3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customHeight="1" spans="1:3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customHeight="1" spans="1:3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customHeight="1" spans="1:3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customHeight="1" spans="1: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customHeight="1" spans="1:3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customHeight="1" spans="1:3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customHeight="1" spans="1:3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customHeight="1" spans="1:3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customHeight="1" spans="1:3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customHeight="1" spans="1:3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customHeight="1" spans="1:3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customHeight="1" spans="1:3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customHeight="1" spans="1:3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customHeight="1" spans="1:3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customHeight="1" spans="1:33">
      <c r="A44" s="6" t="s">
        <v>853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6" t="s">
        <v>854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customHeight="1" spans="1:33">
      <c r="A45" s="7" t="s">
        <v>855</v>
      </c>
      <c r="B45" s="5"/>
      <c r="C45" s="5"/>
      <c r="D45" s="5"/>
      <c r="E45" s="5"/>
      <c r="F45" s="5"/>
      <c r="G45" s="5"/>
      <c r="H45" s="5"/>
      <c r="I45" s="5"/>
      <c r="J45" s="1" t="s">
        <v>265</v>
      </c>
      <c r="K45" s="5"/>
      <c r="L45" s="5"/>
      <c r="M45" s="5"/>
      <c r="N45" s="5"/>
      <c r="O45" s="5"/>
      <c r="P45" s="5"/>
      <c r="Q45" s="7" t="s">
        <v>856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1" t="s">
        <v>265</v>
      </c>
      <c r="AD45" s="5"/>
      <c r="AE45" s="5"/>
      <c r="AF45" s="5"/>
      <c r="AG45" s="5"/>
    </row>
    <row r="46" customHeight="1" spans="1:33">
      <c r="A46" s="1" t="s">
        <v>237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1" t="s">
        <v>266</v>
      </c>
      <c r="R46" s="5"/>
      <c r="S46" s="5"/>
      <c r="T46" s="5"/>
      <c r="U46" s="5"/>
      <c r="V46" s="5"/>
      <c r="W46" s="5"/>
      <c r="AA46" s="1"/>
      <c r="AB46" s="1"/>
      <c r="AC46" s="5"/>
      <c r="AD46" s="5"/>
      <c r="AE46" s="5"/>
      <c r="AF46" s="5"/>
      <c r="AG46" s="5"/>
    </row>
    <row r="47" customHeight="1" spans="1:33">
      <c r="A47" s="7" t="s">
        <v>857</v>
      </c>
      <c r="B47" s="5"/>
      <c r="C47" s="5"/>
      <c r="D47" s="5"/>
      <c r="E47" s="5"/>
      <c r="F47" s="5"/>
      <c r="G47" s="5"/>
      <c r="H47" s="5"/>
      <c r="I47" s="5"/>
      <c r="J47" s="1" t="s">
        <v>132</v>
      </c>
      <c r="K47" s="5"/>
      <c r="L47" s="5"/>
      <c r="M47" s="5"/>
      <c r="N47" s="5"/>
      <c r="O47" s="5"/>
      <c r="P47" s="5"/>
      <c r="Q47" s="7" t="s">
        <v>858</v>
      </c>
      <c r="R47" s="5"/>
      <c r="S47" s="5"/>
      <c r="T47" s="5"/>
      <c r="U47" s="5"/>
      <c r="V47" s="5"/>
      <c r="W47" s="5"/>
      <c r="AA47" s="1"/>
      <c r="AB47" s="1"/>
      <c r="AC47" s="1" t="s">
        <v>132</v>
      </c>
      <c r="AD47" s="1"/>
      <c r="AE47" s="1"/>
      <c r="AF47" s="1"/>
      <c r="AG47" s="1"/>
    </row>
    <row r="48" customHeight="1" spans="1:33">
      <c r="A48" s="1" t="s">
        <v>241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1" t="s">
        <v>859</v>
      </c>
      <c r="R48" s="5"/>
      <c r="S48" s="5"/>
      <c r="T48" s="5"/>
      <c r="U48" s="5"/>
      <c r="V48" s="5"/>
      <c r="W48" s="5"/>
      <c r="AA48" s="1"/>
      <c r="AB48" s="1"/>
      <c r="AC48" s="5"/>
      <c r="AD48" s="5"/>
      <c r="AE48" s="5"/>
      <c r="AF48" s="5"/>
      <c r="AG48" s="5"/>
    </row>
    <row r="49" customHeight="1" spans="1:33">
      <c r="A49" s="7" t="s">
        <v>860</v>
      </c>
      <c r="B49" s="5"/>
      <c r="C49" s="5"/>
      <c r="D49" s="5"/>
      <c r="E49" s="5"/>
      <c r="F49" s="7"/>
      <c r="G49" s="5"/>
      <c r="H49" s="5"/>
      <c r="I49" s="5"/>
      <c r="J49" s="1" t="s">
        <v>132</v>
      </c>
      <c r="K49" s="5"/>
      <c r="L49" s="5"/>
      <c r="M49" s="5"/>
      <c r="N49" s="5"/>
      <c r="O49" s="5"/>
      <c r="P49" s="5"/>
      <c r="Q49" s="7" t="s">
        <v>861</v>
      </c>
      <c r="R49" s="5"/>
      <c r="S49" s="5"/>
      <c r="T49" s="5"/>
      <c r="U49" s="5"/>
      <c r="V49" s="5"/>
      <c r="W49" s="5"/>
      <c r="AA49" s="1"/>
      <c r="AB49" s="1"/>
      <c r="AC49" s="1" t="s">
        <v>132</v>
      </c>
      <c r="AD49" s="5"/>
      <c r="AE49" s="5"/>
      <c r="AF49" s="5"/>
      <c r="AG49" s="5"/>
    </row>
    <row r="50" customHeight="1" spans="1:33">
      <c r="A50" s="1" t="s">
        <v>375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1" t="s">
        <v>862</v>
      </c>
      <c r="R50" s="5"/>
      <c r="S50" s="5"/>
      <c r="T50" s="5"/>
      <c r="U50" s="5"/>
      <c r="V50" s="5"/>
      <c r="W50" s="5"/>
      <c r="AA50" s="1"/>
      <c r="AB50" s="1"/>
      <c r="AC50" s="5"/>
      <c r="AD50" s="5"/>
      <c r="AE50" s="5"/>
      <c r="AF50" s="5"/>
      <c r="AG50" s="5"/>
    </row>
    <row r="51" customHeight="1" spans="1:33">
      <c r="A51" s="7" t="s">
        <v>863</v>
      </c>
      <c r="C51" s="5"/>
      <c r="D51" s="5"/>
      <c r="E51" s="5"/>
      <c r="F51" s="5"/>
      <c r="G51" s="5"/>
      <c r="H51" s="5"/>
      <c r="I51" s="5"/>
      <c r="J51" s="1" t="s">
        <v>132</v>
      </c>
      <c r="K51" s="5"/>
      <c r="L51" s="5"/>
      <c r="M51" s="5"/>
      <c r="N51" s="5"/>
      <c r="O51" s="5"/>
      <c r="P51" s="5"/>
      <c r="Q51" s="5"/>
      <c r="R51" s="7" t="s">
        <v>864</v>
      </c>
      <c r="S51" s="5"/>
      <c r="T51" s="5"/>
      <c r="U51" s="5"/>
      <c r="V51" s="5"/>
      <c r="W51" s="5"/>
      <c r="AA51" s="1"/>
      <c r="AB51" s="1"/>
      <c r="AC51" s="1" t="s">
        <v>652</v>
      </c>
      <c r="AD51" s="5"/>
      <c r="AE51" s="5"/>
      <c r="AF51" s="5"/>
      <c r="AG51" s="5"/>
    </row>
    <row r="52" customHeight="1" spans="1:33">
      <c r="A52" s="1" t="s">
        <v>865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R52" s="7" t="s">
        <v>866</v>
      </c>
      <c r="AA52" s="5"/>
      <c r="AB52" s="5"/>
      <c r="AC52" s="1" t="s">
        <v>265</v>
      </c>
      <c r="AD52" s="5"/>
      <c r="AE52" s="5"/>
      <c r="AF52" s="5"/>
      <c r="AG52" s="5"/>
    </row>
    <row r="53" customHeight="1" spans="1:33">
      <c r="A53" s="5"/>
      <c r="B53" s="7" t="s">
        <v>867</v>
      </c>
      <c r="C53" s="5"/>
      <c r="D53" s="5"/>
      <c r="E53" s="5"/>
      <c r="F53" s="5"/>
      <c r="G53" s="5"/>
      <c r="H53" s="5"/>
      <c r="I53" s="5"/>
      <c r="J53" s="1" t="s">
        <v>652</v>
      </c>
      <c r="K53" s="5"/>
      <c r="L53" s="5"/>
      <c r="M53" s="5"/>
      <c r="N53" s="5"/>
      <c r="O53" s="5"/>
      <c r="P53" s="5"/>
      <c r="Q53" s="5"/>
      <c r="R53" s="1" t="s">
        <v>868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customHeight="1" spans="1:33">
      <c r="A54" s="1"/>
      <c r="B54" s="7" t="s">
        <v>869</v>
      </c>
      <c r="C54" s="5"/>
      <c r="D54" s="5"/>
      <c r="E54" s="5"/>
      <c r="F54" s="5"/>
      <c r="G54" s="5"/>
      <c r="H54" s="5"/>
      <c r="I54" s="5"/>
      <c r="J54" s="1" t="s">
        <v>265</v>
      </c>
      <c r="K54" s="5"/>
      <c r="L54" s="5"/>
      <c r="M54" s="5"/>
      <c r="N54" s="5"/>
      <c r="O54" s="5"/>
      <c r="P54" s="5"/>
      <c r="Q54" s="5"/>
      <c r="R54" s="7" t="s">
        <v>870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1" t="s">
        <v>132</v>
      </c>
      <c r="AD54" s="5"/>
      <c r="AE54" s="5"/>
      <c r="AF54" s="5"/>
      <c r="AG54" s="5"/>
    </row>
    <row r="55" customHeight="1" spans="1:33">
      <c r="A55" s="1"/>
      <c r="B55" s="1" t="s">
        <v>391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1" t="s">
        <v>871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customHeight="1" spans="1:33">
      <c r="A56" s="5"/>
      <c r="B56" s="7" t="s">
        <v>872</v>
      </c>
      <c r="C56" s="5"/>
      <c r="D56" s="5"/>
      <c r="E56" s="5"/>
      <c r="F56" s="5"/>
      <c r="G56" s="5"/>
      <c r="H56" s="5"/>
      <c r="I56" s="5"/>
      <c r="J56" s="1" t="s">
        <v>132</v>
      </c>
      <c r="K56" s="5"/>
      <c r="L56" s="5"/>
      <c r="M56" s="5"/>
      <c r="N56" s="5"/>
      <c r="O56" s="5"/>
      <c r="P56" s="5"/>
      <c r="Q56" s="5"/>
      <c r="R56" s="7" t="s">
        <v>873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1" t="s">
        <v>132</v>
      </c>
      <c r="AD56" s="5"/>
      <c r="AE56" s="5"/>
      <c r="AF56" s="5"/>
      <c r="AG56" s="5"/>
    </row>
    <row r="57" customHeight="1" spans="1:33">
      <c r="A57" s="5"/>
      <c r="B57" s="1" t="s">
        <v>874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1" t="s">
        <v>173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customHeight="1" spans="1:33">
      <c r="A58" s="5"/>
      <c r="B58" s="7" t="s">
        <v>875</v>
      </c>
      <c r="C58" s="5"/>
      <c r="D58" s="5"/>
      <c r="E58" s="5"/>
      <c r="F58" s="5"/>
      <c r="G58" s="5"/>
      <c r="H58" s="5"/>
      <c r="I58" s="5"/>
      <c r="J58" s="1" t="s">
        <v>132</v>
      </c>
      <c r="K58" s="5"/>
      <c r="L58" s="5"/>
      <c r="M58" s="5"/>
      <c r="N58" s="5"/>
      <c r="O58" s="5"/>
      <c r="P58" s="5"/>
      <c r="Q58" s="7" t="s">
        <v>876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1" t="s">
        <v>668</v>
      </c>
      <c r="AD58" s="5"/>
      <c r="AE58" s="5"/>
      <c r="AF58" s="5"/>
      <c r="AG58" s="5"/>
    </row>
    <row r="59" customHeight="1" spans="1:33">
      <c r="A59" s="1"/>
      <c r="B59" s="1" t="s">
        <v>647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7" t="s">
        <v>877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1" t="s">
        <v>265</v>
      </c>
      <c r="AD59" s="5"/>
      <c r="AE59" s="5"/>
      <c r="AF59" s="5"/>
      <c r="AG59" s="5"/>
    </row>
    <row r="60" customHeight="1" spans="1:33">
      <c r="A60" s="1"/>
      <c r="B60" s="7" t="s">
        <v>878</v>
      </c>
      <c r="C60" s="5"/>
      <c r="D60" s="5"/>
      <c r="E60" s="5"/>
      <c r="F60" s="5"/>
      <c r="G60" s="5"/>
      <c r="H60" s="5"/>
      <c r="I60" s="5"/>
      <c r="J60" s="1" t="s">
        <v>132</v>
      </c>
      <c r="K60" s="5"/>
      <c r="L60" s="5"/>
      <c r="M60" s="5"/>
      <c r="N60" s="5"/>
      <c r="O60" s="5"/>
      <c r="P60" s="5"/>
      <c r="Q60" s="6" t="s">
        <v>879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1" t="s">
        <v>265</v>
      </c>
      <c r="AD60" s="5"/>
      <c r="AE60" s="5"/>
      <c r="AF60" s="5"/>
      <c r="AG60" s="5"/>
    </row>
    <row r="61" customHeight="1" spans="1:33">
      <c r="A61" s="1"/>
      <c r="B61" s="5" t="s">
        <v>880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customHeight="1" spans="1:33">
      <c r="A62" s="1"/>
      <c r="B62" s="7" t="s">
        <v>881</v>
      </c>
      <c r="C62" s="5"/>
      <c r="D62" s="5"/>
      <c r="E62" s="5"/>
      <c r="F62" s="5"/>
      <c r="G62" s="5"/>
      <c r="H62" s="5"/>
      <c r="I62" s="5"/>
      <c r="J62" s="1" t="s">
        <v>132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customHeight="1" spans="1:33">
      <c r="A63" s="1" t="s">
        <v>173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1" t="s">
        <v>91</v>
      </c>
      <c r="R63" s="1" t="s">
        <v>882</v>
      </c>
      <c r="S63" s="5"/>
      <c r="T63" s="1" t="s">
        <v>883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customHeight="1" spans="1:33">
      <c r="A64" s="7" t="s">
        <v>884</v>
      </c>
      <c r="C64" s="5"/>
      <c r="D64" s="5"/>
      <c r="E64" s="5"/>
      <c r="F64" s="5"/>
      <c r="G64" s="5"/>
      <c r="H64" s="5"/>
      <c r="I64" s="5"/>
      <c r="J64" s="1" t="s">
        <v>668</v>
      </c>
      <c r="K64" s="5"/>
      <c r="L64" s="5"/>
      <c r="M64" s="5"/>
      <c r="N64" s="5"/>
      <c r="O64" s="5"/>
      <c r="P64" s="5"/>
      <c r="Q64" s="1">
        <v>12345</v>
      </c>
      <c r="R64" s="1">
        <v>1</v>
      </c>
      <c r="S64" s="5"/>
      <c r="T64" s="1">
        <f t="shared" ref="T64:T68" si="0">Q64-10</f>
        <v>12335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customHeight="1" spans="1:33">
      <c r="A65" s="10" t="s">
        <v>261</v>
      </c>
      <c r="C65" s="5"/>
      <c r="D65" s="5"/>
      <c r="E65" s="5"/>
      <c r="F65" s="5"/>
      <c r="G65" s="5"/>
      <c r="H65" s="5"/>
      <c r="I65" s="5"/>
      <c r="J65" s="1" t="s">
        <v>265</v>
      </c>
      <c r="K65" s="5"/>
      <c r="L65" s="5"/>
      <c r="M65" s="5"/>
      <c r="N65" s="5"/>
      <c r="O65" s="5"/>
      <c r="P65" s="5"/>
      <c r="Q65" s="1">
        <v>1234</v>
      </c>
      <c r="R65" s="3">
        <v>2</v>
      </c>
      <c r="S65" s="5"/>
      <c r="T65" s="1">
        <f t="shared" si="0"/>
        <v>1224</v>
      </c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customHeight="1" spans="1:33">
      <c r="A66" s="1"/>
      <c r="B66" s="1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1">
        <v>123</v>
      </c>
      <c r="R66" s="1">
        <v>3</v>
      </c>
      <c r="S66" s="5"/>
      <c r="T66" s="1">
        <f t="shared" si="0"/>
        <v>113</v>
      </c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customHeight="1" spans="1:3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1">
        <v>12</v>
      </c>
      <c r="R67" s="1">
        <v>4</v>
      </c>
      <c r="S67" s="5"/>
      <c r="T67" s="1">
        <f t="shared" si="0"/>
        <v>2</v>
      </c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customHeight="1" spans="1:3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1">
        <v>1</v>
      </c>
      <c r="R68" s="1">
        <v>5</v>
      </c>
      <c r="S68" s="5"/>
      <c r="T68" s="1">
        <f t="shared" si="0"/>
        <v>-9</v>
      </c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customHeight="1" spans="1:33">
      <c r="A69" s="6" t="s">
        <v>103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customHeight="1" spans="1:33">
      <c r="A70" s="7" t="s">
        <v>885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U70" s="5"/>
      <c r="V70" s="1" t="s">
        <v>265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customHeight="1" spans="1:33">
      <c r="A71" s="1" t="s">
        <v>283</v>
      </c>
      <c r="B71" s="5"/>
      <c r="C71" s="5"/>
      <c r="D71" s="5"/>
      <c r="E71" s="5"/>
      <c r="F71" s="5"/>
      <c r="G71" s="5"/>
      <c r="H71" s="5"/>
      <c r="I71" s="5"/>
      <c r="J71" s="1"/>
      <c r="K71" s="5"/>
      <c r="L71" s="5"/>
      <c r="M71" s="5"/>
      <c r="N71" s="5"/>
      <c r="O71" s="5"/>
      <c r="P71" s="5"/>
      <c r="Q71" s="5"/>
      <c r="R71" s="5"/>
      <c r="S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customHeight="1" spans="1:33">
      <c r="A72" s="7" t="s">
        <v>886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U72" s="5"/>
      <c r="V72" s="1" t="s">
        <v>132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customHeight="1" spans="1:33">
      <c r="A73" s="1" t="s">
        <v>769</v>
      </c>
      <c r="B73" s="5"/>
      <c r="C73" s="5"/>
      <c r="D73" s="5"/>
      <c r="E73" s="5"/>
      <c r="F73" s="5"/>
      <c r="G73" s="5"/>
      <c r="H73" s="5"/>
      <c r="I73" s="5"/>
      <c r="J73" s="1"/>
      <c r="K73" s="5"/>
      <c r="L73" s="5"/>
      <c r="M73" s="5"/>
      <c r="N73" s="5"/>
      <c r="O73" s="5"/>
      <c r="P73" s="5"/>
      <c r="Q73" s="5"/>
      <c r="R73" s="5"/>
      <c r="S73" s="5"/>
      <c r="U73" s="5"/>
      <c r="V73" s="5"/>
      <c r="W73" s="5"/>
      <c r="X73" s="1" t="s">
        <v>887</v>
      </c>
      <c r="Y73" s="1">
        <v>15</v>
      </c>
      <c r="Z73" s="1">
        <v>10</v>
      </c>
      <c r="AA73" s="1">
        <v>5</v>
      </c>
      <c r="AB73" s="1">
        <v>8</v>
      </c>
      <c r="AC73" s="1">
        <v>9</v>
      </c>
      <c r="AD73" s="1">
        <v>4</v>
      </c>
      <c r="AE73" s="1">
        <v>7</v>
      </c>
      <c r="AF73" s="1">
        <v>6</v>
      </c>
      <c r="AG73" s="5"/>
    </row>
    <row r="74" customHeight="1" spans="1:33">
      <c r="A74" s="1"/>
      <c r="B74" s="7" t="s">
        <v>888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11"/>
      <c r="O74" s="5"/>
      <c r="P74" s="5"/>
      <c r="Q74" s="5"/>
      <c r="R74" s="5"/>
      <c r="S74" s="5"/>
      <c r="U74" s="5"/>
      <c r="V74" s="1" t="s">
        <v>210</v>
      </c>
      <c r="W74" s="5"/>
      <c r="X74" s="5"/>
      <c r="Y74" s="1">
        <v>15</v>
      </c>
      <c r="Z74" s="1">
        <v>10</v>
      </c>
      <c r="AA74" s="1">
        <v>5</v>
      </c>
      <c r="AB74" s="1">
        <v>8</v>
      </c>
      <c r="AC74" s="1">
        <v>9</v>
      </c>
      <c r="AD74" s="1">
        <v>4</v>
      </c>
      <c r="AE74" s="1">
        <v>6</v>
      </c>
      <c r="AF74" s="1">
        <v>7</v>
      </c>
      <c r="AG74" s="5"/>
    </row>
    <row r="75" customHeight="1" spans="1:33">
      <c r="A75" s="7"/>
      <c r="B75" s="7" t="s">
        <v>889</v>
      </c>
      <c r="C75" s="5"/>
      <c r="D75" s="5"/>
      <c r="E75" s="5"/>
      <c r="F75" s="7"/>
      <c r="G75" s="5"/>
      <c r="H75" s="5"/>
      <c r="I75" s="5"/>
      <c r="J75" s="1"/>
      <c r="K75" s="5"/>
      <c r="L75" s="5"/>
      <c r="M75" s="5"/>
      <c r="N75" s="11"/>
      <c r="O75" s="5"/>
      <c r="P75" s="5"/>
      <c r="Q75" s="5"/>
      <c r="R75" s="5"/>
      <c r="S75" s="5"/>
      <c r="U75" s="5"/>
      <c r="V75" s="1" t="s">
        <v>265</v>
      </c>
      <c r="W75" s="5"/>
      <c r="X75" s="5"/>
      <c r="Y75" s="1">
        <v>15</v>
      </c>
      <c r="Z75" s="1">
        <v>10</v>
      </c>
      <c r="AA75" s="1">
        <v>5</v>
      </c>
      <c r="AB75" s="1">
        <v>8</v>
      </c>
      <c r="AC75" s="1">
        <v>9</v>
      </c>
      <c r="AD75" s="1">
        <v>4</v>
      </c>
      <c r="AE75" s="1">
        <v>6</v>
      </c>
      <c r="AF75" s="1">
        <v>7</v>
      </c>
      <c r="AG75" s="5"/>
    </row>
    <row r="76" customHeight="1" spans="1:33">
      <c r="A76" s="1"/>
      <c r="B76" s="1" t="s">
        <v>890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U76" s="5"/>
      <c r="V76" s="5"/>
      <c r="W76" s="5"/>
      <c r="X76" s="5"/>
      <c r="Y76" s="1">
        <v>15</v>
      </c>
      <c r="Z76" s="1">
        <v>10</v>
      </c>
      <c r="AA76" s="1">
        <v>5</v>
      </c>
      <c r="AB76" s="1">
        <v>8</v>
      </c>
      <c r="AC76" s="1">
        <v>4</v>
      </c>
      <c r="AD76" s="1">
        <v>9</v>
      </c>
      <c r="AE76" s="1">
        <v>6</v>
      </c>
      <c r="AF76" s="1">
        <v>7</v>
      </c>
      <c r="AG76" s="5"/>
    </row>
    <row r="77" customHeight="1" spans="2:33">
      <c r="B77" s="7" t="s">
        <v>891</v>
      </c>
      <c r="F77" s="5"/>
      <c r="G77" s="5"/>
      <c r="H77" s="5"/>
      <c r="I77" s="5"/>
      <c r="J77" s="1"/>
      <c r="K77" s="5"/>
      <c r="L77" s="5"/>
      <c r="M77" s="5"/>
      <c r="N77" s="11"/>
      <c r="O77" s="5"/>
      <c r="P77" s="5"/>
      <c r="Q77" s="5"/>
      <c r="R77" s="5"/>
      <c r="S77" s="5"/>
      <c r="U77" s="5"/>
      <c r="V77" s="1" t="s">
        <v>132</v>
      </c>
      <c r="W77" s="5"/>
      <c r="X77" s="5"/>
      <c r="Y77" s="1">
        <v>15</v>
      </c>
      <c r="Z77" s="1">
        <v>10</v>
      </c>
      <c r="AA77" s="1">
        <v>5</v>
      </c>
      <c r="AB77" s="1">
        <v>4</v>
      </c>
      <c r="AC77" s="1">
        <v>8</v>
      </c>
      <c r="AD77" s="1">
        <v>9</v>
      </c>
      <c r="AE77" s="1">
        <v>6</v>
      </c>
      <c r="AF77" s="1">
        <v>7</v>
      </c>
      <c r="AG77" s="5"/>
    </row>
    <row r="78" customHeight="1" spans="1:33">
      <c r="A78" s="7"/>
      <c r="B78" s="1" t="s">
        <v>892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U78" s="5"/>
      <c r="V78" s="5"/>
      <c r="W78" s="5"/>
      <c r="X78" s="1"/>
      <c r="Y78" s="1">
        <v>15</v>
      </c>
      <c r="Z78" s="1">
        <v>10</v>
      </c>
      <c r="AA78" s="1">
        <v>4</v>
      </c>
      <c r="AB78" s="1">
        <v>5</v>
      </c>
      <c r="AC78" s="1">
        <v>8</v>
      </c>
      <c r="AD78" s="1">
        <v>9</v>
      </c>
      <c r="AE78" s="1">
        <v>6</v>
      </c>
      <c r="AF78" s="1">
        <v>7</v>
      </c>
      <c r="AG78" s="5"/>
    </row>
    <row r="79" customHeight="1" spans="3:33">
      <c r="C79" s="7" t="s">
        <v>893</v>
      </c>
      <c r="G79" s="11"/>
      <c r="H79" s="5"/>
      <c r="I79" s="5"/>
      <c r="J79" s="1"/>
      <c r="K79" s="5"/>
      <c r="L79" s="5"/>
      <c r="N79" s="11"/>
      <c r="V79" s="1" t="s">
        <v>210</v>
      </c>
      <c r="X79" s="5"/>
      <c r="Y79" s="1">
        <v>15</v>
      </c>
      <c r="Z79" s="1">
        <v>4</v>
      </c>
      <c r="AA79" s="1">
        <v>10</v>
      </c>
      <c r="AB79" s="1">
        <v>5</v>
      </c>
      <c r="AC79" s="1">
        <v>8</v>
      </c>
      <c r="AD79" s="1">
        <v>9</v>
      </c>
      <c r="AE79" s="1">
        <v>6</v>
      </c>
      <c r="AF79" s="1">
        <v>7</v>
      </c>
      <c r="AG79" s="5"/>
    </row>
    <row r="80" customHeight="1" spans="1:33">
      <c r="A80" s="1"/>
      <c r="C80" s="1" t="s">
        <v>894</v>
      </c>
      <c r="D80" s="5"/>
      <c r="E80" s="5"/>
      <c r="F80" s="12"/>
      <c r="G80" s="12"/>
      <c r="H80" s="12"/>
      <c r="I80" s="12"/>
      <c r="J80" s="11"/>
      <c r="K80" s="12"/>
      <c r="L80" s="12"/>
      <c r="M80" s="13"/>
      <c r="N80" s="13"/>
      <c r="O80" s="13"/>
      <c r="P80" s="13"/>
      <c r="X80" s="5"/>
      <c r="Y80" s="1">
        <v>4</v>
      </c>
      <c r="Z80" s="1">
        <v>15</v>
      </c>
      <c r="AA80" s="1">
        <v>10</v>
      </c>
      <c r="AB80" s="1">
        <v>5</v>
      </c>
      <c r="AC80" s="1">
        <v>8</v>
      </c>
      <c r="AD80" s="1">
        <v>9</v>
      </c>
      <c r="AE80" s="1">
        <v>6</v>
      </c>
      <c r="AF80" s="1">
        <v>7</v>
      </c>
      <c r="AG80" s="5"/>
    </row>
    <row r="81" customHeight="1" spans="4:33">
      <c r="D81" s="7" t="s">
        <v>895</v>
      </c>
      <c r="F81" s="13"/>
      <c r="G81" s="11"/>
      <c r="H81" s="12"/>
      <c r="I81" s="12"/>
      <c r="J81" s="12"/>
      <c r="K81" s="12"/>
      <c r="L81" s="12"/>
      <c r="M81" s="13"/>
      <c r="N81" s="11"/>
      <c r="O81" s="13"/>
      <c r="P81" s="13"/>
      <c r="V81" s="1" t="s">
        <v>896</v>
      </c>
      <c r="Y81" s="3">
        <v>4</v>
      </c>
      <c r="Z81" s="3">
        <v>15</v>
      </c>
      <c r="AA81" s="5"/>
      <c r="AB81" s="5"/>
      <c r="AC81" s="5"/>
      <c r="AD81" s="5"/>
      <c r="AE81" s="5"/>
      <c r="AF81" s="5"/>
      <c r="AG81" s="5"/>
    </row>
    <row r="82" customHeight="1" spans="4:33">
      <c r="D82" s="7" t="s">
        <v>897</v>
      </c>
      <c r="F82" s="13"/>
      <c r="G82" s="11"/>
      <c r="H82" s="12"/>
      <c r="I82" s="12"/>
      <c r="J82" s="11"/>
      <c r="K82" s="12"/>
      <c r="L82" s="12"/>
      <c r="M82" s="13"/>
      <c r="N82" s="11"/>
      <c r="O82" s="13"/>
      <c r="P82" s="13"/>
      <c r="V82" s="1" t="s">
        <v>265</v>
      </c>
      <c r="AA82" s="5"/>
      <c r="AB82" s="5"/>
      <c r="AC82" s="5"/>
      <c r="AD82" s="5"/>
      <c r="AE82" s="5"/>
      <c r="AF82" s="5"/>
      <c r="AG82" s="5"/>
    </row>
    <row r="83" customHeight="1" spans="1:33">
      <c r="A83" s="5"/>
      <c r="B83" s="7"/>
      <c r="C83" s="5"/>
      <c r="D83" s="1" t="s">
        <v>898</v>
      </c>
      <c r="E83" s="5"/>
      <c r="F83" s="12"/>
      <c r="G83" s="12"/>
      <c r="H83" s="12"/>
      <c r="I83" s="12"/>
      <c r="J83" s="12"/>
      <c r="K83" s="12"/>
      <c r="L83" s="12"/>
      <c r="M83" s="13"/>
      <c r="N83" s="13"/>
      <c r="O83" s="13"/>
      <c r="P83" s="13"/>
      <c r="AA83" s="5"/>
      <c r="AB83" s="5"/>
      <c r="AC83" s="5"/>
      <c r="AD83" s="5"/>
      <c r="AE83" s="5"/>
      <c r="AF83" s="5"/>
      <c r="AG83" s="5"/>
    </row>
    <row r="84" customHeight="1" spans="4:33">
      <c r="D84" s="7" t="s">
        <v>899</v>
      </c>
      <c r="F84" s="13"/>
      <c r="G84" s="11"/>
      <c r="H84" s="12"/>
      <c r="I84" s="12"/>
      <c r="J84" s="11"/>
      <c r="K84" s="12"/>
      <c r="L84" s="12"/>
      <c r="M84" s="13"/>
      <c r="N84" s="11"/>
      <c r="O84" s="13"/>
      <c r="P84" s="13"/>
      <c r="V84" s="1" t="s">
        <v>132</v>
      </c>
      <c r="AA84" s="5"/>
      <c r="AB84" s="5"/>
      <c r="AC84" s="5"/>
      <c r="AD84" s="5"/>
      <c r="AE84" s="5"/>
      <c r="AF84" s="5"/>
      <c r="AG84" s="5"/>
    </row>
    <row r="85" customHeight="1" spans="1:33">
      <c r="A85" s="1"/>
      <c r="B85" s="7"/>
      <c r="C85" s="5"/>
      <c r="D85" s="1" t="s">
        <v>900</v>
      </c>
      <c r="E85" s="5"/>
      <c r="F85" s="12"/>
      <c r="G85" s="12"/>
      <c r="H85" s="12"/>
      <c r="I85" s="12"/>
      <c r="J85" s="12"/>
      <c r="K85" s="12"/>
      <c r="L85" s="12"/>
      <c r="M85" s="13"/>
      <c r="N85" s="13"/>
      <c r="O85" s="13"/>
      <c r="P85" s="13"/>
      <c r="AA85" s="5"/>
      <c r="AB85" s="5"/>
      <c r="AC85" s="5"/>
      <c r="AD85" s="5"/>
      <c r="AE85" s="5"/>
      <c r="AF85" s="5"/>
      <c r="AG85" s="5"/>
    </row>
    <row r="86" customHeight="1" spans="4:33">
      <c r="D86" s="7" t="s">
        <v>901</v>
      </c>
      <c r="F86" s="13"/>
      <c r="G86" s="11"/>
      <c r="H86" s="12"/>
      <c r="I86" s="12"/>
      <c r="J86" s="11"/>
      <c r="K86" s="12"/>
      <c r="L86" s="12"/>
      <c r="M86" s="13"/>
      <c r="N86" s="11"/>
      <c r="O86" s="13"/>
      <c r="P86" s="13"/>
      <c r="V86" s="1" t="s">
        <v>132</v>
      </c>
      <c r="AA86" s="5"/>
      <c r="AB86" s="5"/>
      <c r="AC86" s="5"/>
      <c r="AD86" s="5"/>
      <c r="AE86" s="5"/>
      <c r="AF86" s="5"/>
      <c r="AG86" s="5"/>
    </row>
    <row r="87" customHeight="1" spans="3:33">
      <c r="C87" s="5"/>
      <c r="D87" s="1" t="s">
        <v>902</v>
      </c>
      <c r="E87" s="5"/>
      <c r="F87" s="12"/>
      <c r="G87" s="12"/>
      <c r="H87" s="12"/>
      <c r="I87" s="12"/>
      <c r="J87" s="12"/>
      <c r="K87" s="12"/>
      <c r="L87" s="12"/>
      <c r="M87" s="12"/>
      <c r="N87" s="13"/>
      <c r="O87" s="13"/>
      <c r="P87" s="13"/>
      <c r="R87" s="5"/>
      <c r="AA87" s="5"/>
      <c r="AB87" s="5"/>
      <c r="AC87" s="5"/>
      <c r="AD87" s="5"/>
      <c r="AE87" s="5"/>
      <c r="AF87" s="5"/>
      <c r="AG87" s="5"/>
    </row>
    <row r="88" customHeight="1" spans="4:33">
      <c r="D88" s="7" t="s">
        <v>903</v>
      </c>
      <c r="F88" s="13"/>
      <c r="G88" s="11"/>
      <c r="H88" s="13"/>
      <c r="I88" s="12"/>
      <c r="J88" s="11"/>
      <c r="K88" s="12"/>
      <c r="L88" s="12"/>
      <c r="M88" s="12"/>
      <c r="N88" s="11"/>
      <c r="O88" s="12"/>
      <c r="P88" s="12"/>
      <c r="Q88" s="5"/>
      <c r="R88" s="5"/>
      <c r="S88" s="5"/>
      <c r="U88" s="5"/>
      <c r="V88" s="1" t="s">
        <v>132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customHeight="1" spans="3:33">
      <c r="C89" s="1" t="s">
        <v>173</v>
      </c>
      <c r="F89" s="13"/>
      <c r="G89" s="13"/>
      <c r="H89" s="13"/>
      <c r="I89" s="13"/>
      <c r="J89" s="13"/>
      <c r="K89" s="13"/>
      <c r="L89" s="13"/>
      <c r="M89" s="12"/>
      <c r="N89" s="12"/>
      <c r="O89" s="12"/>
      <c r="P89" s="12"/>
      <c r="Q89" s="5"/>
      <c r="R89" s="5"/>
      <c r="S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customHeight="1" spans="3:33">
      <c r="C90" s="1" t="s">
        <v>255</v>
      </c>
      <c r="D90" s="1"/>
      <c r="E90" s="5"/>
      <c r="F90" s="12"/>
      <c r="G90" s="11"/>
      <c r="H90" s="12"/>
      <c r="I90" s="12"/>
      <c r="J90" s="12"/>
      <c r="K90" s="12"/>
      <c r="L90" s="12"/>
      <c r="M90" s="12"/>
      <c r="N90" s="12"/>
      <c r="O90" s="12"/>
      <c r="P90" s="12"/>
      <c r="Q90" s="5"/>
      <c r="R90" s="5"/>
      <c r="S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customHeight="1" spans="4:33">
      <c r="D91" s="7" t="s">
        <v>904</v>
      </c>
      <c r="E91" s="5"/>
      <c r="F91" s="12"/>
      <c r="G91" s="11"/>
      <c r="H91" s="12"/>
      <c r="I91" s="12"/>
      <c r="J91" s="12"/>
      <c r="K91" s="12"/>
      <c r="L91" s="12"/>
      <c r="M91" s="12"/>
      <c r="N91" s="12"/>
      <c r="O91" s="12"/>
      <c r="P91" s="12"/>
      <c r="Q91" s="5"/>
      <c r="R91" s="5"/>
      <c r="S91" s="5"/>
      <c r="U91" s="5"/>
      <c r="V91" s="1" t="s">
        <v>896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customHeight="1" spans="4:33">
      <c r="D92" s="7" t="s">
        <v>903</v>
      </c>
      <c r="F92" s="13"/>
      <c r="G92" s="11"/>
      <c r="H92" s="13"/>
      <c r="I92" s="13"/>
      <c r="J92" s="13"/>
      <c r="K92" s="13"/>
      <c r="L92" s="12"/>
      <c r="M92" s="12"/>
      <c r="N92" s="12"/>
      <c r="O92" s="12"/>
      <c r="P92" s="12"/>
      <c r="Q92" s="5"/>
      <c r="R92" s="5"/>
      <c r="S92" s="5"/>
      <c r="U92" s="5"/>
      <c r="V92" s="1" t="s">
        <v>265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customHeight="1" spans="3:33">
      <c r="C93" s="1" t="s">
        <v>173</v>
      </c>
      <c r="F93" s="13"/>
      <c r="G93" s="13"/>
      <c r="H93" s="13"/>
      <c r="I93" s="13"/>
      <c r="J93" s="13"/>
      <c r="K93" s="13"/>
      <c r="L93" s="12"/>
      <c r="M93" s="12"/>
      <c r="N93" s="12"/>
      <c r="O93" s="12"/>
      <c r="P93" s="12"/>
      <c r="Q93" s="5"/>
      <c r="R93" s="5"/>
      <c r="S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customHeight="1" spans="3:33">
      <c r="C94" s="7" t="s">
        <v>903</v>
      </c>
      <c r="D94" s="1"/>
      <c r="E94" s="5"/>
      <c r="F94" s="12"/>
      <c r="G94" s="11"/>
      <c r="H94" s="12"/>
      <c r="I94" s="12"/>
      <c r="J94" s="12"/>
      <c r="K94" s="12"/>
      <c r="L94" s="12"/>
      <c r="M94" s="12"/>
      <c r="N94" s="11"/>
      <c r="O94" s="12"/>
      <c r="P94" s="12"/>
      <c r="Q94" s="5"/>
      <c r="R94" s="5"/>
      <c r="S94" s="5"/>
      <c r="U94" s="5"/>
      <c r="V94" s="1" t="s">
        <v>896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customHeight="1" spans="3:33">
      <c r="C95" s="1" t="s">
        <v>905</v>
      </c>
      <c r="E95" s="5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5"/>
      <c r="R95" s="5"/>
      <c r="S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customHeight="1" spans="3:33">
      <c r="C96" s="1"/>
      <c r="F96" s="13"/>
      <c r="G96" s="11"/>
      <c r="H96" s="13"/>
      <c r="I96" s="12"/>
      <c r="J96" s="11"/>
      <c r="K96" s="12"/>
      <c r="L96" s="12"/>
      <c r="M96" s="12"/>
      <c r="N96" s="12"/>
      <c r="O96" s="12"/>
      <c r="P96" s="12"/>
      <c r="Q96" s="5"/>
      <c r="R96" s="5"/>
      <c r="S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customHeight="1" spans="1:33">
      <c r="A97" s="1"/>
      <c r="B97" s="1"/>
      <c r="C97" s="7" t="s">
        <v>891</v>
      </c>
      <c r="D97" s="5"/>
      <c r="E97" s="5"/>
      <c r="F97" s="12"/>
      <c r="G97" s="11"/>
      <c r="H97" s="12"/>
      <c r="I97" s="13"/>
      <c r="J97" s="13"/>
      <c r="K97" s="13"/>
      <c r="L97" s="12"/>
      <c r="M97" s="12"/>
      <c r="N97" s="11"/>
      <c r="O97" s="12"/>
      <c r="P97" s="12"/>
      <c r="Q97" s="5"/>
      <c r="R97" s="5"/>
      <c r="S97" s="5"/>
      <c r="U97" s="5"/>
      <c r="V97" s="1" t="s">
        <v>132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customHeight="1" spans="1:33">
      <c r="A98" s="1"/>
      <c r="B98" s="1" t="s">
        <v>173</v>
      </c>
      <c r="C98" s="5"/>
      <c r="D98" s="5"/>
      <c r="E98" s="5"/>
      <c r="F98" s="12"/>
      <c r="G98" s="12"/>
      <c r="H98" s="12"/>
      <c r="I98" s="13"/>
      <c r="J98" s="13"/>
      <c r="K98" s="13"/>
      <c r="L98" s="12"/>
      <c r="M98" s="12"/>
      <c r="N98" s="12"/>
      <c r="O98" s="12"/>
      <c r="P98" s="12"/>
      <c r="Q98" s="5"/>
      <c r="R98" s="5"/>
      <c r="S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customHeight="1" spans="2:33">
      <c r="B99" s="7" t="s">
        <v>906</v>
      </c>
      <c r="F99" s="11"/>
      <c r="G99" s="13"/>
      <c r="H99" s="13"/>
      <c r="I99" s="12"/>
      <c r="J99" s="12"/>
      <c r="K99" s="12"/>
      <c r="L99" s="12"/>
      <c r="M99" s="12"/>
      <c r="N99" s="11"/>
      <c r="O99" s="12"/>
      <c r="P99" s="12"/>
      <c r="Q99" s="5"/>
      <c r="R99" s="5"/>
      <c r="S99" s="5"/>
      <c r="U99" s="5"/>
      <c r="V99" s="1" t="s">
        <v>224</v>
      </c>
      <c r="W99" s="5"/>
      <c r="X99" s="1"/>
      <c r="Y99" s="1"/>
      <c r="Z99" s="1"/>
      <c r="AA99" s="1"/>
      <c r="AB99" s="5"/>
      <c r="AC99" s="5"/>
      <c r="AD99" s="5"/>
      <c r="AE99" s="5"/>
      <c r="AF99" s="5"/>
      <c r="AG99" s="5"/>
    </row>
    <row r="100" customHeight="1" spans="2:33">
      <c r="B100" s="7" t="s">
        <v>907</v>
      </c>
      <c r="F100" s="11"/>
      <c r="G100" s="13"/>
      <c r="H100" s="13"/>
      <c r="I100" s="13"/>
      <c r="J100" s="13"/>
      <c r="K100" s="13"/>
      <c r="L100" s="12"/>
      <c r="M100" s="12"/>
      <c r="N100" s="11"/>
      <c r="O100" s="12"/>
      <c r="P100" s="12"/>
      <c r="Q100" s="5"/>
      <c r="R100" s="5"/>
      <c r="S100" s="5"/>
      <c r="U100" s="5"/>
      <c r="V100" s="1" t="s">
        <v>265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customHeight="1" spans="2:33">
      <c r="B101" s="7" t="s">
        <v>908</v>
      </c>
      <c r="G101" s="13"/>
      <c r="H101" s="13"/>
      <c r="I101" s="13"/>
      <c r="J101" s="13"/>
      <c r="K101" s="13"/>
      <c r="L101" s="12"/>
      <c r="M101" s="12"/>
      <c r="N101" s="11"/>
      <c r="O101" s="11" t="s">
        <v>909</v>
      </c>
      <c r="P101" s="11" t="s">
        <v>909</v>
      </c>
      <c r="Q101" s="5"/>
      <c r="R101" s="5"/>
      <c r="S101" s="5"/>
      <c r="U101" s="5"/>
      <c r="V101" s="1" t="s">
        <v>265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customHeight="1" spans="1:33">
      <c r="A102" s="5"/>
      <c r="B102" s="1" t="s">
        <v>391</v>
      </c>
      <c r="C102" s="5"/>
      <c r="D102" s="5"/>
      <c r="E102" s="5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5"/>
      <c r="R102" s="5"/>
      <c r="S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customHeight="1" spans="2:33">
      <c r="B103" s="7" t="s">
        <v>910</v>
      </c>
      <c r="F103" s="13"/>
      <c r="G103" s="13"/>
      <c r="H103" s="13"/>
      <c r="I103" s="13"/>
      <c r="J103" s="12"/>
      <c r="K103" s="12"/>
      <c r="L103" s="12"/>
      <c r="M103" s="12"/>
      <c r="N103" s="12"/>
      <c r="O103" s="11" t="s">
        <v>911</v>
      </c>
      <c r="P103" s="12"/>
      <c r="Q103" s="12"/>
      <c r="R103" s="12"/>
      <c r="S103" s="12"/>
      <c r="U103" s="5"/>
      <c r="V103" s="12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customHeight="1" spans="1:33">
      <c r="A104" s="1" t="s">
        <v>173</v>
      </c>
      <c r="B104" s="1"/>
      <c r="C104" s="5"/>
      <c r="D104" s="5"/>
      <c r="E104" s="5"/>
      <c r="F104" s="12"/>
      <c r="G104" s="12"/>
      <c r="H104" s="12"/>
      <c r="I104" s="12"/>
      <c r="J104" s="12"/>
      <c r="K104" s="12"/>
      <c r="L104" s="12"/>
      <c r="M104" s="12"/>
      <c r="N104" s="12"/>
      <c r="O104" s="11" t="s">
        <v>912</v>
      </c>
      <c r="P104" s="12"/>
      <c r="Q104" s="12"/>
      <c r="R104" s="12"/>
      <c r="S104" s="12"/>
      <c r="U104" s="5"/>
      <c r="V104" s="12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customHeight="1" spans="1:33">
      <c r="A105" s="7" t="s">
        <v>913</v>
      </c>
      <c r="B105" s="7"/>
      <c r="C105" s="5"/>
      <c r="D105" s="5"/>
      <c r="E105" s="5"/>
      <c r="L105" s="13"/>
      <c r="M105" s="13"/>
      <c r="N105" s="12"/>
      <c r="O105" s="12"/>
      <c r="P105" s="12"/>
      <c r="Q105" s="5"/>
      <c r="R105" s="5"/>
      <c r="S105" s="5"/>
      <c r="U105" s="5"/>
      <c r="V105" s="1" t="s">
        <v>224</v>
      </c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customHeight="1" spans="1:33">
      <c r="A106" s="7" t="s">
        <v>914</v>
      </c>
      <c r="B106" s="7"/>
      <c r="C106" s="5"/>
      <c r="D106" s="5"/>
      <c r="E106" s="1"/>
      <c r="L106" s="12"/>
      <c r="M106" s="12"/>
      <c r="N106" s="12"/>
      <c r="O106" s="12"/>
      <c r="P106" s="12"/>
      <c r="Q106" s="5"/>
      <c r="R106" s="5"/>
      <c r="S106" s="5"/>
      <c r="U106" s="5"/>
      <c r="V106" s="1" t="s">
        <v>265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customHeight="1" spans="1:33">
      <c r="A107" s="6" t="s">
        <v>915</v>
      </c>
      <c r="B107" s="7"/>
      <c r="C107" s="5"/>
      <c r="D107" s="5"/>
      <c r="E107" s="1"/>
      <c r="L107" s="12"/>
      <c r="M107" s="12"/>
      <c r="N107" s="12"/>
      <c r="O107" s="12"/>
      <c r="P107" s="12"/>
      <c r="Q107" s="5"/>
      <c r="R107" s="5"/>
      <c r="S107" s="5"/>
      <c r="U107" s="5"/>
      <c r="V107" s="1" t="s">
        <v>265</v>
      </c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customHeight="1" spans="1:3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customHeight="1" spans="1:3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customHeight="1" spans="1:33">
      <c r="A110" s="5"/>
      <c r="B110" s="7" t="s">
        <v>722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customHeight="1" spans="1:3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customHeight="1" spans="1:3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customHeight="1" spans="1:33">
      <c r="A113" s="6" t="s">
        <v>103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6" t="s">
        <v>103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customHeight="1" spans="1:33">
      <c r="A114" s="7" t="s">
        <v>916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7" t="s">
        <v>917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customHeight="1" spans="1:33">
      <c r="A115" s="1" t="s">
        <v>918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1" t="s">
        <v>918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customHeight="1" spans="1:33">
      <c r="A116" s="7" t="s">
        <v>919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7" t="s">
        <v>920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customHeight="1" spans="1:33">
      <c r="A117" s="1" t="s">
        <v>283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P117" s="1" t="s">
        <v>283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customHeight="1" spans="1:33">
      <c r="A118" s="7" t="s">
        <v>921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P118" s="7" t="s">
        <v>922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customHeight="1" spans="1:33">
      <c r="A119" s="1" t="s">
        <v>923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1" t="s">
        <v>923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customHeight="1" spans="1:33">
      <c r="A120" s="5"/>
      <c r="B120" s="7" t="s">
        <v>924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7" t="s">
        <v>925</v>
      </c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customHeight="1" spans="1:33">
      <c r="A121" s="5"/>
      <c r="B121" s="7" t="s">
        <v>926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1" t="s">
        <v>927</v>
      </c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customHeight="1" spans="1:33">
      <c r="A122" s="5"/>
      <c r="B122" s="1" t="s">
        <v>717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Q122" s="1"/>
      <c r="R122" s="7" t="s">
        <v>924</v>
      </c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customHeight="1" spans="1:33">
      <c r="A123" s="5"/>
      <c r="B123" s="7" t="s">
        <v>928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R123" s="7" t="s">
        <v>929</v>
      </c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customHeight="1" spans="1:33">
      <c r="A124" s="5"/>
      <c r="B124" s="1" t="s">
        <v>930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R124" s="1" t="s">
        <v>717</v>
      </c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customHeight="1" spans="1:33">
      <c r="A125" s="5"/>
      <c r="B125" s="7" t="s">
        <v>921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R125" s="7" t="s">
        <v>931</v>
      </c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customHeight="1" spans="1:33">
      <c r="A126" s="1" t="s">
        <v>173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Q126" s="1" t="s">
        <v>173</v>
      </c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customHeight="1" spans="1:33">
      <c r="A127" s="7" t="s">
        <v>932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Q127" s="1" t="s">
        <v>255</v>
      </c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customHeight="1" spans="1:33">
      <c r="A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R128" s="7" t="s">
        <v>933</v>
      </c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customHeight="1" spans="1:33">
      <c r="A129" s="6" t="s">
        <v>934</v>
      </c>
      <c r="B129" s="5"/>
      <c r="C129" s="5"/>
      <c r="D129" s="5"/>
      <c r="E129" s="5"/>
      <c r="F129" s="5"/>
      <c r="G129" s="5"/>
      <c r="H129" s="1" t="s">
        <v>935</v>
      </c>
      <c r="I129" s="5"/>
      <c r="J129" s="5"/>
      <c r="K129" s="5"/>
      <c r="L129" s="5"/>
      <c r="M129" s="5"/>
      <c r="N129" s="5"/>
      <c r="O129" s="5"/>
      <c r="R129" s="7" t="s">
        <v>931</v>
      </c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customHeight="1" spans="1:3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Q130" s="1" t="s">
        <v>173</v>
      </c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customHeight="1" spans="1:3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7" t="s">
        <v>931</v>
      </c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customHeight="1" spans="1:3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1" t="s">
        <v>391</v>
      </c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customHeight="1" spans="1: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7" t="s">
        <v>922</v>
      </c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customHeight="1" spans="1:3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1" t="s">
        <v>173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customHeight="1" spans="1:3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7" t="s">
        <v>936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customHeight="1" spans="1:3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customHeight="1" spans="1:3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6" t="s">
        <v>934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customHeight="1" spans="1:3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customHeight="1" spans="1:3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customHeight="1" spans="1:3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customHeight="1" spans="1:3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customHeight="1" spans="1:3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customHeight="1" spans="1:3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customHeight="1" spans="1:3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customHeight="1" spans="1:3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customHeight="1" spans="1:3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customHeight="1" spans="1:3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customHeight="1" spans="1:3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customHeight="1" spans="1:3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customHeight="1" spans="1:3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customHeight="1" spans="1:3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customHeight="1" spans="1:3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customHeight="1" spans="1:3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customHeight="1" spans="1:3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customHeight="1" spans="1:3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customHeight="1" spans="1:3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customHeight="1" spans="1:3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customHeight="1" spans="1:3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customHeight="1" spans="1:3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customHeight="1" spans="1:3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customHeight="1" spans="1:3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customHeight="1" spans="1:3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customHeight="1" spans="1:3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customHeight="1" spans="1:3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customHeight="1" spans="1:33">
      <c r="A165" s="1" t="s">
        <v>103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customHeight="1" spans="1:33">
      <c r="A166" s="14" t="s">
        <v>937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customHeight="1" spans="1:33">
      <c r="A167" s="14" t="s">
        <v>938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customHeight="1" spans="1:33">
      <c r="A168" s="1" t="s">
        <v>283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customHeight="1" spans="1:33">
      <c r="A169" s="14" t="s">
        <v>939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customHeight="1" spans="1:33">
      <c r="A170" s="1" t="s">
        <v>918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customHeight="1" spans="1:33">
      <c r="A171" s="14" t="s">
        <v>940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customHeight="1" spans="1:33">
      <c r="A172" s="1" t="s">
        <v>941</v>
      </c>
      <c r="B172" s="5"/>
      <c r="C172" s="1" t="s">
        <v>162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customHeight="1" spans="1:33">
      <c r="A173" s="5"/>
      <c r="B173" s="14" t="s">
        <v>942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customHeight="1" spans="1:33">
      <c r="A174" s="5"/>
      <c r="B174" s="1" t="s">
        <v>927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customHeight="1" spans="1:33">
      <c r="A175" s="5"/>
      <c r="B175" s="5"/>
      <c r="C175" s="14" t="s">
        <v>943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customHeight="1" spans="1:33">
      <c r="A176" s="5"/>
      <c r="B176" s="5"/>
      <c r="C176" s="14" t="s">
        <v>944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customHeight="1" spans="1:33">
      <c r="A177" s="5"/>
      <c r="B177" s="5"/>
      <c r="C177" s="1" t="s">
        <v>945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customHeight="1" spans="1:33">
      <c r="A178" s="5"/>
      <c r="B178" s="1"/>
      <c r="C178" s="14" t="s">
        <v>946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customHeight="1" spans="1:33">
      <c r="A179" s="5"/>
      <c r="B179" s="1" t="s">
        <v>173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customHeight="1" spans="1:33">
      <c r="A180" s="5"/>
      <c r="B180" s="1" t="s">
        <v>255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customHeight="1" spans="1:33">
      <c r="A181" s="5"/>
      <c r="B181" s="5"/>
      <c r="C181" s="14" t="s">
        <v>947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customHeight="1" spans="1:33">
      <c r="A182" s="5"/>
      <c r="B182" s="5"/>
      <c r="C182" s="14" t="s">
        <v>946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customHeight="1" spans="1:33">
      <c r="A183" s="5"/>
      <c r="B183" s="1" t="s">
        <v>173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customHeight="1" spans="1:33">
      <c r="A184" s="1"/>
      <c r="B184" s="14" t="s">
        <v>946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customHeight="1" spans="1:33">
      <c r="A185" s="1"/>
      <c r="B185" s="1" t="s">
        <v>948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customHeight="1" spans="1:33">
      <c r="A186" s="1"/>
      <c r="B186" s="14" t="s">
        <v>940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customHeight="1" spans="1:33">
      <c r="A187" s="1" t="s">
        <v>173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customHeight="1" spans="1:33">
      <c r="A188" s="14" t="s">
        <v>949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customHeight="1" spans="1:33">
      <c r="A189" s="14" t="s">
        <v>950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customHeight="1" spans="1:33">
      <c r="A190" s="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customHeight="1" spans="1:33">
      <c r="A191" s="14" t="s">
        <v>951</v>
      </c>
      <c r="B191" s="5"/>
      <c r="C191" s="5"/>
      <c r="D191" s="5"/>
      <c r="E191" s="5"/>
      <c r="F191" s="5"/>
      <c r="G191" s="5"/>
      <c r="H191" s="5"/>
      <c r="I191" s="1" t="s">
        <v>952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customHeight="1" spans="1:3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customHeight="1" spans="2:33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customHeight="1" spans="1:33">
      <c r="A194" s="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customHeight="1" spans="1:3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customHeight="1" spans="1:3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customHeight="1" spans="1:3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customHeight="1" spans="1:3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customHeight="1" spans="1:3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customHeight="1" spans="1:3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customHeight="1" spans="1:3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customHeight="1" spans="1:3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customHeight="1" spans="1:3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customHeight="1" spans="1:3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customHeight="1" spans="1:3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customHeight="1" spans="1:3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customHeight="1" spans="1:3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customHeight="1" spans="1:3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customHeight="1" spans="1:3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customHeight="1" spans="1:3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customHeight="1" spans="1:3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customHeight="1" spans="1:3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customHeight="1" spans="1:3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customHeight="1" spans="1:3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customHeight="1" spans="1:3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customHeight="1" spans="1:3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customHeight="1" spans="1:3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customHeight="1" spans="1:3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customHeight="1" spans="1:3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customHeight="1" spans="1:3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customHeight="1" spans="1:3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customHeight="1" spans="1:3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customHeight="1" spans="1:3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customHeight="1" spans="1:3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customHeight="1" spans="1:3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customHeight="1" spans="1:3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customHeight="1" spans="1:3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customHeight="1" spans="1:3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customHeight="1" spans="1:3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customHeight="1" spans="1:3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customHeight="1" spans="1:3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customHeight="1" spans="1:3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customHeight="1" spans="1: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customHeight="1" spans="1:3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customHeight="1" spans="1:3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customHeight="1" spans="1:3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customHeight="1" spans="1:3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customHeight="1" spans="1:3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customHeight="1" spans="1:3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customHeight="1" spans="1:3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customHeight="1" spans="1:3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customHeight="1" spans="1:3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customHeight="1" spans="1:3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customHeight="1" spans="1:3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customHeight="1" spans="1:3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customHeight="1" spans="1:3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customHeight="1" spans="1:3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customHeight="1" spans="1:3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customHeight="1" spans="1:3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customHeight="1" spans="1:3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customHeight="1" spans="1:3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customHeight="1" spans="1:3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customHeight="1" spans="1:3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customHeight="1" spans="1:3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customHeight="1" spans="1:3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customHeight="1" spans="1:3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customHeight="1" spans="1:3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customHeight="1" spans="1:3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customHeight="1" spans="1:3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customHeight="1" spans="1:3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customHeight="1" spans="1:3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customHeight="1" spans="1:3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customHeight="1" spans="1:3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customHeight="1" spans="1:3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customHeight="1" spans="1:3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customHeight="1" spans="1:3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customHeight="1" spans="1:3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customHeight="1" spans="1:3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customHeight="1" spans="1:3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customHeight="1" spans="1:3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customHeight="1" spans="1:3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customHeight="1" spans="1:3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customHeight="1" spans="1:3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customHeight="1" spans="1:3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customHeight="1" spans="1:3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customHeight="1" spans="1:3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customHeight="1" spans="1:3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customHeight="1" spans="1:3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customHeight="1" spans="1:3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customHeight="1" spans="1:3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customHeight="1" spans="1:3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customHeight="1" spans="1:3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customHeight="1" spans="1:3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customHeight="1" spans="1:3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customHeight="1" spans="1:3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customHeight="1" spans="1:3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customHeight="1" spans="1:3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customHeight="1" spans="1:3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customHeight="1" spans="1:3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customHeight="1" spans="1:3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customHeight="1" spans="1:3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customHeight="1" spans="1:3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customHeight="1" spans="1:3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customHeight="1" spans="1:3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customHeight="1" spans="1:3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customHeight="1" spans="1:3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customHeight="1" spans="1:3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customHeight="1" spans="1:3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customHeight="1" spans="1:3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customHeight="1" spans="1:3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customHeight="1" spans="1:3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customHeight="1" spans="1:3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customHeight="1" spans="1:3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customHeight="1" spans="1:3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customHeight="1" spans="1:3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customHeight="1" spans="1:3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customHeight="1" spans="1:3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customHeight="1" spans="1:3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customHeight="1" spans="1:3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customHeight="1" spans="1:3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customHeight="1" spans="1:3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customHeight="1" spans="1:3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customHeight="1" spans="1:3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customHeight="1" spans="1:3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customHeight="1" spans="1:3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customHeight="1" spans="1:3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customHeight="1" spans="1:3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customHeight="1" spans="1:3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customHeight="1" spans="1:3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customHeight="1" spans="1:3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customHeight="1" spans="1:3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customHeight="1" spans="1:3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customHeight="1" spans="1:3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customHeight="1" spans="1:3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customHeight="1" spans="1:3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customHeight="1" spans="1:3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customHeight="1" spans="1:3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customHeight="1" spans="1:3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customHeight="1" spans="1:3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customHeight="1" spans="1:3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customHeight="1" spans="1:3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customHeight="1" spans="1:3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customHeight="1" spans="1: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customHeight="1" spans="1:3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customHeight="1" spans="1:3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customHeight="1" spans="1:3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customHeight="1" spans="1:3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customHeight="1" spans="1:3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customHeight="1" spans="1:3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customHeight="1" spans="1:3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customHeight="1" spans="1:3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customHeight="1" spans="1:3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customHeight="1" spans="1:3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customHeight="1" spans="1:3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customHeight="1" spans="1:3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customHeight="1" spans="1:3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customHeight="1" spans="1:3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customHeight="1" spans="1:3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customHeight="1" spans="1:3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customHeight="1" spans="1:3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customHeight="1" spans="1:3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customHeight="1" spans="1:3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customHeight="1" spans="1:3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customHeight="1" spans="1:3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customHeight="1" spans="1:3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customHeight="1" spans="1:3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customHeight="1" spans="1:3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customHeight="1" spans="1:3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customHeight="1" spans="1:3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customHeight="1" spans="1:3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customHeight="1" spans="1:3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customHeight="1" spans="1:3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customHeight="1" spans="1:3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customHeight="1" spans="1:3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customHeight="1" spans="1:3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customHeight="1" spans="1:3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customHeight="1" spans="1:3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customHeight="1" spans="1:3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customHeight="1" spans="1:3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customHeight="1" spans="1:3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customHeight="1" spans="1:3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customHeight="1" spans="1:3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customHeight="1" spans="1:3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customHeight="1" spans="1:3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customHeight="1" spans="1:3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customHeight="1" spans="1:3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customHeight="1" spans="1:3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customHeight="1" spans="1:3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customHeight="1" spans="1:3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customHeight="1" spans="1:3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customHeight="1" spans="1:3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customHeight="1" spans="1:3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customHeight="1" spans="1:3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customHeight="1" spans="1:3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customHeight="1" spans="1:3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customHeight="1" spans="1:3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customHeight="1" spans="1:3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customHeight="1" spans="1:3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customHeight="1" spans="1:3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customHeight="1" spans="1:3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customHeight="1" spans="1:3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customHeight="1" spans="1:3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customHeight="1" spans="1:3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customHeight="1" spans="1:3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customHeight="1" spans="1:3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customHeight="1" spans="1:3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customHeight="1" spans="1:3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customHeight="1" spans="1:3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customHeight="1" spans="1:3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customHeight="1" spans="1:3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customHeight="1" spans="1:3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customHeight="1" spans="1:3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customHeight="1" spans="1:3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customHeight="1" spans="1:3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customHeight="1" spans="1:3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customHeight="1" spans="1:3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customHeight="1" spans="1:3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customHeight="1" spans="1:3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customHeight="1" spans="1:3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customHeight="1" spans="1:3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customHeight="1" spans="1:3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customHeight="1" spans="1:3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customHeight="1" spans="1:3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customHeight="1" spans="1:3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customHeight="1" spans="1:3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customHeight="1" spans="1:3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customHeight="1" spans="1:3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customHeight="1" spans="1:3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customHeight="1" spans="1:3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customHeight="1" spans="1:3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customHeight="1" spans="1:3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customHeight="1" spans="1:3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customHeight="1" spans="1:3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customHeight="1" spans="1:3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customHeight="1" spans="1:3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 customHeight="1" spans="1:3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 customHeight="1" spans="1:3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 customHeight="1" spans="1:3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 customHeight="1" spans="1:3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 customHeight="1" spans="1:3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 customHeight="1" spans="1:3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 customHeight="1" spans="1:3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 customHeight="1" spans="1: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 customHeight="1" spans="1:3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 customHeight="1" spans="1:3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 customHeight="1" spans="1:3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 customHeight="1" spans="1:3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 customHeight="1" spans="1:3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 customHeight="1" spans="1:3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 customHeight="1" spans="1:3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 customHeight="1" spans="1:3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 customHeight="1" spans="1:3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 customHeight="1" spans="1:3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 customHeight="1" spans="1:3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 customHeight="1" spans="1:3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 customHeight="1" spans="1:3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 customHeight="1" spans="1:3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 customHeight="1" spans="1:3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 customHeight="1" spans="1:3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 customHeight="1" spans="1:3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 customHeight="1" spans="1:3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 customHeight="1" spans="1:3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 customHeight="1" spans="1:3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 customHeight="1" spans="1:3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 customHeight="1" spans="1:3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 customHeight="1" spans="1:3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 customHeight="1" spans="1:3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 customHeight="1" spans="1:3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 customHeight="1" spans="1:3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 customHeight="1" spans="1:3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 customHeight="1" spans="1:3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 customHeight="1" spans="1:3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 customHeight="1" spans="1:3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 customHeight="1" spans="1:3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 customHeight="1" spans="1:3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 customHeight="1" spans="1:3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 customHeight="1" spans="1:3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 customHeight="1" spans="1:3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 customHeight="1" spans="1:3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 customHeight="1" spans="1:3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 customHeight="1" spans="1:3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 customHeight="1" spans="1:3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 customHeight="1" spans="1:3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 customHeight="1" spans="1:3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 customHeight="1" spans="1:3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 customHeight="1" spans="1:3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 customHeight="1" spans="1:3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 customHeight="1" spans="1:3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 customHeight="1" spans="1:3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 customHeight="1" spans="1:3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 customHeight="1" spans="1:3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 customHeight="1" spans="1:3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 customHeight="1" spans="1:3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 customHeight="1" spans="1:3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 customHeight="1" spans="1:3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 customHeight="1" spans="1:3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 customHeight="1" spans="1:3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 customHeight="1" spans="1:3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 customHeight="1" spans="1:3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 customHeight="1" spans="1:3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 customHeight="1" spans="1:3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 customHeight="1" spans="1:3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 customHeight="1" spans="1:3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 customHeight="1" spans="1:3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 customHeight="1" spans="1:3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 customHeight="1" spans="1:3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 customHeight="1" spans="1:3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 customHeight="1" spans="1:3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 customHeight="1" spans="1:3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 customHeight="1" spans="1:3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 customHeight="1" spans="1:3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 customHeight="1" spans="1:3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 customHeight="1" spans="1:3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 customHeight="1" spans="1:3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 customHeight="1" spans="1:3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 customHeight="1" spans="1:3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 customHeight="1" spans="1:3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 customHeight="1" spans="1:3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 customHeight="1" spans="1:3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 customHeight="1" spans="1:3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 customHeight="1" spans="1:3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 customHeight="1" spans="1:3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 customHeight="1" spans="1:3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 customHeight="1" spans="1:3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 customHeight="1" spans="1:3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 customHeight="1" spans="1:3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 customHeight="1" spans="1:3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 customHeight="1" spans="1:3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 customHeight="1" spans="1:3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 customHeight="1" spans="1:3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 customHeight="1" spans="1:3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 customHeight="1" spans="1:3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 customHeight="1" spans="1:3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 customHeight="1" spans="1:3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 customHeight="1" spans="1:3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 customHeight="1" spans="1:3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 customHeight="1" spans="1:3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 customHeight="1" spans="1:3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 customHeight="1" spans="1:3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 customHeight="1" spans="1:3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 customHeight="1" spans="1:3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 customHeight="1" spans="1:3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 customHeight="1" spans="1: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 customHeight="1" spans="1:3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 customHeight="1" spans="1:3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 customHeight="1" spans="1:3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 customHeight="1" spans="1:3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 customHeight="1" spans="1:3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 customHeight="1" spans="1:3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 customHeight="1" spans="1:3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 customHeight="1" spans="1:3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 customHeight="1" spans="1:3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 customHeight="1" spans="1:3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 customHeight="1" spans="1:3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 customHeight="1" spans="1:3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 customHeight="1" spans="1:3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 customHeight="1" spans="1:3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 customHeight="1" spans="1:3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 customHeight="1" spans="1:3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 customHeight="1" spans="1:3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 customHeight="1" spans="1:3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 customHeight="1" spans="1:3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 customHeight="1" spans="1:3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 customHeight="1" spans="1:3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 customHeight="1" spans="1:3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 customHeight="1" spans="1:3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 customHeight="1" spans="1:3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 customHeight="1" spans="1:3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 customHeight="1" spans="1:3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 customHeight="1" spans="1:3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 customHeight="1" spans="1:3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 customHeight="1" spans="1:3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 customHeight="1" spans="1:3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 customHeight="1" spans="1:3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 customHeight="1" spans="1:3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 customHeight="1" spans="1:3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 customHeight="1" spans="1:3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 customHeight="1" spans="1:3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 customHeight="1" spans="1:3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 customHeight="1" spans="1:3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 customHeight="1" spans="1:3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 customHeight="1" spans="1:3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 customHeight="1" spans="1:3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 customHeight="1" spans="1:3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 customHeight="1" spans="1:3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 customHeight="1" spans="1:3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 customHeight="1" spans="1:3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 customHeight="1" spans="1:3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 customHeight="1" spans="1:3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 customHeight="1" spans="1:3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 customHeight="1" spans="1:3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 customHeight="1" spans="1:3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 customHeight="1" spans="1:3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 customHeight="1" spans="1:3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 customHeight="1" spans="1:3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 customHeight="1" spans="1:3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 customHeight="1" spans="1:3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 customHeight="1" spans="1:3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 customHeight="1" spans="1:3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 customHeight="1" spans="1:3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 customHeight="1" spans="1:3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 customHeight="1" spans="1:3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 customHeight="1" spans="1:3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 customHeight="1" spans="1:3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 customHeight="1" spans="1:3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 customHeight="1" spans="1:3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 customHeight="1" spans="1:3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 customHeight="1" spans="1:3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 customHeight="1" spans="1:3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 customHeight="1" spans="1:3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 customHeight="1" spans="1:3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 customHeight="1" spans="1:3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 customHeight="1" spans="1:3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 customHeight="1" spans="1:3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 customHeight="1" spans="1:3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 customHeight="1" spans="1:3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 customHeight="1" spans="1:3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 customHeight="1" spans="1:3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 customHeight="1" spans="1:3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 customHeight="1" spans="1:3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 customHeight="1" spans="1:3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 customHeight="1" spans="1:3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 customHeight="1" spans="1:3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 customHeight="1" spans="1:3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 customHeight="1" spans="1:3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 customHeight="1" spans="1:3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 customHeight="1" spans="1:3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 customHeight="1" spans="1:3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 customHeight="1" spans="1:3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 customHeight="1" spans="1:3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 customHeight="1" spans="1:3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 customHeight="1" spans="1:3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 customHeight="1" spans="1:3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 customHeight="1" spans="1:3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 customHeight="1" spans="1:3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 customHeight="1" spans="1:3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 customHeight="1" spans="1:3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 customHeight="1" spans="1:3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 customHeight="1" spans="1:3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 customHeight="1" spans="1:3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 customHeight="1" spans="1:3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 customHeight="1" spans="1:3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 customHeight="1" spans="1: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 customHeight="1" spans="1:3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 customHeight="1" spans="1:3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 customHeight="1" spans="1:3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 customHeight="1" spans="1:3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 customHeight="1" spans="1:3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 customHeight="1" spans="1:3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 customHeight="1" spans="1:3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 customHeight="1" spans="1:3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 customHeight="1" spans="1:3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 customHeight="1" spans="1:3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 customHeight="1" spans="1:3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 customHeight="1" spans="1:3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 customHeight="1" spans="1:3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 customHeight="1" spans="1:3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 customHeight="1" spans="1:3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 customHeight="1" spans="1:3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 customHeight="1" spans="1:3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 customHeight="1" spans="1:3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 customHeight="1" spans="1:3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 customHeight="1" spans="1:3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 customHeight="1" spans="1:3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 customHeight="1" spans="1:3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 customHeight="1" spans="1:3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 customHeight="1" spans="1:3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 customHeight="1" spans="1:3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 customHeight="1" spans="1:3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 customHeight="1" spans="1:3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 customHeight="1" spans="1:3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 customHeight="1" spans="1:3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 customHeight="1" spans="1:3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 customHeight="1" spans="1:3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 customHeight="1" spans="1:3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 customHeight="1" spans="1:3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 customHeight="1" spans="1:3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 customHeight="1" spans="1:3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 customHeight="1" spans="1:3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 customHeight="1" spans="1:3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 customHeight="1" spans="1:3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 customHeight="1" spans="1:3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 customHeight="1" spans="1:3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 customHeight="1" spans="1:3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 customHeight="1" spans="1:3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 customHeight="1" spans="1:3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 customHeight="1" spans="1:3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 customHeight="1" spans="1:3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 customHeight="1" spans="1:3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 customHeight="1" spans="1:3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 customHeight="1" spans="1:3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 customHeight="1" spans="1:3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 customHeight="1" spans="1:3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 customHeight="1" spans="1:3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 customHeight="1" spans="1:3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 customHeight="1" spans="1:3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 customHeight="1" spans="1:3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 customHeight="1" spans="1:3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 customHeight="1" spans="1:3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 customHeight="1" spans="1:3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 customHeight="1" spans="1:3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 customHeight="1" spans="1:3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 customHeight="1" spans="1:3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 customHeight="1" spans="1:3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 customHeight="1" spans="1:3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 customHeight="1" spans="1:3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 customHeight="1" spans="1:3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 customHeight="1" spans="1:3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 customHeight="1" spans="1:3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 customHeight="1" spans="1:3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 customHeight="1" spans="1:3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 customHeight="1" spans="1:3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 customHeight="1" spans="1:3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 customHeight="1" spans="1:3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 customHeight="1" spans="1:3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 customHeight="1" spans="1:3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 customHeight="1" spans="1:3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 customHeight="1" spans="1:3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 customHeight="1" spans="1:3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 customHeight="1" spans="1:3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 customHeight="1" spans="1:3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 customHeight="1" spans="1:3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 customHeight="1" spans="1:3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 customHeight="1" spans="1:3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 customHeight="1" spans="1:3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 customHeight="1" spans="1:3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 customHeight="1" spans="1:3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 customHeight="1" spans="1:3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 customHeight="1" spans="1:3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 customHeight="1" spans="1:3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 customHeight="1" spans="1:3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 customHeight="1" spans="1:3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 customHeight="1" spans="1:3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 customHeight="1" spans="1:3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 customHeight="1" spans="1:3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 customHeight="1" spans="1:3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 customHeight="1" spans="1:3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 customHeight="1" spans="1:3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 customHeight="1" spans="1:3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 customHeight="1" spans="1:3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 customHeight="1" spans="1:3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 customHeight="1" spans="1:3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 customHeight="1" spans="1: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 customHeight="1" spans="1:3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 customHeight="1" spans="1:3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 customHeight="1" spans="1:3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 customHeight="1" spans="1:3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 customHeight="1" spans="1:3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 customHeight="1" spans="1:3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 customHeight="1" spans="1:3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 customHeight="1" spans="1:3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 customHeight="1" spans="1:3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 customHeight="1" spans="1:3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 customHeight="1" spans="1:3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 customHeight="1" spans="1:3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 customHeight="1" spans="1:3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 customHeight="1" spans="1:3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 customHeight="1" spans="1:3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 customHeight="1" spans="1:3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 customHeight="1" spans="1:3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 customHeight="1" spans="1:3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 customHeight="1" spans="1:3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 customHeight="1" spans="1:3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 customHeight="1" spans="1:3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 customHeight="1" spans="1:3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 customHeight="1" spans="1:3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 customHeight="1" spans="1:3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 customHeight="1" spans="1:3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 customHeight="1" spans="1:3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 customHeight="1" spans="1:3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 customHeight="1" spans="1:3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 customHeight="1" spans="1:3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 customHeight="1" spans="1:3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 customHeight="1" spans="1:3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 customHeight="1" spans="1:3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 customHeight="1" spans="1:3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 customHeight="1" spans="1:3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 customHeight="1" spans="1:3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 customHeight="1" spans="1:3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 customHeight="1" spans="1:3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 customHeight="1" spans="1:3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 customHeight="1" spans="1:3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 customHeight="1" spans="1:3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 customHeight="1" spans="1:3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 customHeight="1" spans="1:3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 customHeight="1" spans="1:3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 customHeight="1" spans="1:3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 customHeight="1" spans="1:3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 customHeight="1" spans="1:3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 customHeight="1" spans="1:3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 customHeight="1" spans="1:3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 customHeight="1" spans="1:3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 customHeight="1" spans="1:3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 customHeight="1" spans="1:3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 customHeight="1" spans="1:3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 customHeight="1" spans="1:3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 customHeight="1" spans="1:3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 customHeight="1" spans="1:3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 customHeight="1" spans="1:3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 customHeight="1" spans="1:3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 customHeight="1" spans="1:3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 customHeight="1" spans="1:3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 customHeight="1" spans="1:3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 customHeight="1" spans="1:3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 customHeight="1" spans="1:3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 customHeight="1" spans="1:3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 customHeight="1" spans="1:3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 customHeight="1" spans="1:3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 customHeight="1" spans="1:3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 customHeight="1" spans="1:3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 customHeight="1" spans="1:3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 customHeight="1" spans="1:3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 customHeight="1" spans="1:3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 customHeight="1" spans="1:3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 customHeight="1" spans="1:3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 customHeight="1" spans="1:3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 customHeight="1" spans="1:3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 customHeight="1" spans="1:3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 customHeight="1" spans="1:3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 customHeight="1" spans="1:3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 customHeight="1" spans="1:3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 customHeight="1" spans="1:3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 customHeight="1" spans="1:3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 customHeight="1" spans="1:3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 customHeight="1" spans="1:3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 customHeight="1" spans="1:3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 customHeight="1" spans="1:3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 customHeight="1" spans="1:3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 customHeight="1" spans="1:3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 customHeight="1" spans="1:3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 customHeight="1" spans="1:3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 customHeight="1" spans="1:3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 customHeight="1" spans="1:3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 customHeight="1" spans="1:3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 customHeight="1" spans="1:3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 customHeight="1" spans="1:3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 customHeight="1" spans="1:3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 customHeight="1" spans="1:3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 customHeight="1" spans="1:3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 customHeight="1" spans="1:3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 customHeight="1" spans="1:3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 customHeight="1" spans="1:3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 customHeight="1" spans="1: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 customHeight="1" spans="1:3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 customHeight="1" spans="1:3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 customHeight="1" spans="1:3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 customHeight="1" spans="1:3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 customHeight="1" spans="1:3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 customHeight="1" spans="1:3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 customHeight="1" spans="1:3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 customHeight="1" spans="1:3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 customHeight="1" spans="1:3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 customHeight="1" spans="1:3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 customHeight="1" spans="1:3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 customHeight="1" spans="1:3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 customHeight="1" spans="1:3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 customHeight="1" spans="1:3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 customHeight="1" spans="1:3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 customHeight="1" spans="1:3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 customHeight="1" spans="1:3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 customHeight="1" spans="1:3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 customHeight="1" spans="1:3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 customHeight="1" spans="1:3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 customHeight="1" spans="1:3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 customHeight="1" spans="1:3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 customHeight="1" spans="1:3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 customHeight="1" spans="1:3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 customHeight="1" spans="1:3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 customHeight="1" spans="1:3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 customHeight="1" spans="1:3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 customHeight="1" spans="1:3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 customHeight="1" spans="1:3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 customHeight="1" spans="1:3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 customHeight="1" spans="1:3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 customHeight="1" spans="1:3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 customHeight="1" spans="1:3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 customHeight="1" spans="1:3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 customHeight="1" spans="1:3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 customHeight="1" spans="1:3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 customHeight="1" spans="1:3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 customHeight="1" spans="1:3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 customHeight="1" spans="1:3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 customHeight="1" spans="1:3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 customHeight="1" spans="1:3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 customHeight="1" spans="1:3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 customHeight="1" spans="1:3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 customHeight="1" spans="1:3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 customHeight="1" spans="1:3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 customHeight="1" spans="1:3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 customHeight="1" spans="1:3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 customHeight="1" spans="1:3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 customHeight="1" spans="1:3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 customHeight="1" spans="1:3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 customHeight="1" spans="1:3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 customHeight="1" spans="1:3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 customHeight="1" spans="1:3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 customHeight="1" spans="1:3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 customHeight="1" spans="1:3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 customHeight="1" spans="1:3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 customHeight="1" spans="1:3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 customHeight="1" spans="1:3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 customHeight="1" spans="1:3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 customHeight="1" spans="1:3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 customHeight="1" spans="1:3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 customHeight="1" spans="1:3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 customHeight="1" spans="1:3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 customHeight="1" spans="1:3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 customHeight="1" spans="1:3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 customHeight="1" spans="1:3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 customHeight="1" spans="1:3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 customHeight="1" spans="1:3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 customHeight="1" spans="1:3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 customHeight="1" spans="1:3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 customHeight="1" spans="1:3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 customHeight="1" spans="1:3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 customHeight="1" spans="1:3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 customHeight="1" spans="1:3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 customHeight="1" spans="1:3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 customHeight="1" spans="1:3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 customHeight="1" spans="1:3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 customHeight="1" spans="1:3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 customHeight="1" spans="1:3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 customHeight="1" spans="1:3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 customHeight="1" spans="1:3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 customHeight="1" spans="1:3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 customHeight="1" spans="1:3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 customHeight="1" spans="1:3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 customHeight="1" spans="1:3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 customHeight="1" spans="1:3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 customHeight="1" spans="1:3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 customHeight="1" spans="1:3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 customHeight="1" spans="1:3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 customHeight="1" spans="1:3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 customHeight="1" spans="1:3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 customHeight="1" spans="1:3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 customHeight="1" spans="1:3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 customHeight="1" spans="1:3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 customHeight="1" spans="1:3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 customHeight="1" spans="1:3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 customHeight="1" spans="1:3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 customHeight="1" spans="1:3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 customHeight="1" spans="1:3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 customHeight="1" spans="1: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 customHeight="1" spans="1:3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 customHeight="1" spans="1:3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 customHeight="1" spans="1:3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 customHeight="1" spans="1:3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 customHeight="1" spans="1:3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 customHeight="1" spans="1:3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 customHeight="1" spans="1:3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 customHeight="1" spans="1:3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 customHeight="1" spans="1:3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 customHeight="1" spans="1:3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 customHeight="1" spans="1:3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 customHeight="1" spans="1:3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 customHeight="1" spans="1:3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 customHeight="1" spans="1:3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 customHeight="1" spans="1:3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 customHeight="1" spans="1:3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 customHeight="1" spans="1:3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 customHeight="1" spans="1:3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 customHeight="1" spans="1:3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 customHeight="1" spans="1:3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 customHeight="1" spans="1:3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 customHeight="1" spans="1:3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 customHeight="1" spans="1:3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 customHeight="1" spans="1:3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 customHeight="1" spans="1:3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 customHeight="1" spans="1:3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 customHeight="1" spans="1:3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 customHeight="1" spans="1:3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 customHeight="1" spans="1:3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 customHeight="1" spans="1:3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 customHeight="1" spans="1:3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 customHeight="1" spans="1:3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 customHeight="1" spans="1:3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 customHeight="1" spans="1:3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 customHeight="1" spans="1:3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 customHeight="1" spans="1:3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 customHeight="1" spans="1:3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 customHeight="1" spans="1:3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 customHeight="1" spans="1:3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 customHeight="1" spans="1:3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 customHeight="1" spans="1:3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 customHeight="1" spans="1:3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 customHeight="1" spans="1:3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 customHeight="1" spans="1:3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 customHeight="1" spans="1:3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 customHeight="1" spans="1:3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 customHeight="1" spans="1:3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 customHeight="1" spans="1:3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 customHeight="1" spans="1:3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 customHeight="1" spans="1:3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 customHeight="1" spans="1:3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 customHeight="1" spans="1:3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 customHeight="1" spans="1:3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 customHeight="1" spans="1:3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 customHeight="1" spans="1:3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 customHeight="1" spans="1:3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 customHeight="1" spans="1:3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 customHeight="1" spans="1:3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 customHeight="1" spans="1:3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 customHeight="1" spans="1:3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 customHeight="1" spans="1:3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 customHeight="1" spans="1:3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 customHeight="1" spans="1:3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 customHeight="1" spans="1:3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 customHeight="1" spans="1:3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 customHeight="1" spans="1:3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 customHeight="1" spans="1:3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 customHeight="1" spans="1:33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 customHeight="1" spans="1:33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 customHeight="1" spans="1:3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 customHeight="1" spans="1:33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 customHeight="1" spans="1:33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 customHeight="1" spans="1:33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 customHeight="1" spans="1:33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 customHeight="1" spans="1:33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 customHeight="1" spans="1:33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 customHeight="1" spans="1:33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 customHeight="1" spans="1:33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 customHeight="1" spans="1:33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 customHeight="1" spans="1:3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 customHeight="1" spans="1:33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7:U71"/>
  <sheetViews>
    <sheetView workbookViewId="0">
      <selection activeCell="A1" sqref="A1"/>
    </sheetView>
  </sheetViews>
  <sheetFormatPr defaultColWidth="12.6296296296296" defaultRowHeight="15.75" customHeight="1"/>
  <sheetData>
    <row r="7" customHeight="1" spans="3:3">
      <c r="C7" s="1" t="s">
        <v>953</v>
      </c>
    </row>
    <row r="11" customHeight="1" spans="2:3">
      <c r="B11" s="2" t="s">
        <v>954</v>
      </c>
      <c r="C11" s="2" t="s">
        <v>955</v>
      </c>
    </row>
    <row r="12" customHeight="1" spans="3:3">
      <c r="C12" s="2" t="s">
        <v>956</v>
      </c>
    </row>
    <row r="16" customHeight="1" spans="2:3">
      <c r="B16" s="2" t="s">
        <v>957</v>
      </c>
      <c r="C16" s="2" t="s">
        <v>958</v>
      </c>
    </row>
    <row r="17" customHeight="1" spans="3:3">
      <c r="C17" s="2" t="s">
        <v>959</v>
      </c>
    </row>
    <row r="26" customHeight="1" spans="3:9">
      <c r="C26" s="2" t="s">
        <v>960</v>
      </c>
      <c r="I26" s="2" t="s">
        <v>961</v>
      </c>
    </row>
    <row r="30" customHeight="1" spans="3:3">
      <c r="C30" s="2" t="s">
        <v>962</v>
      </c>
    </row>
    <row r="31" customHeight="1" spans="3:3">
      <c r="C31" s="2"/>
    </row>
    <row r="35" customHeight="1" spans="3:12">
      <c r="C35" s="2" t="s">
        <v>963</v>
      </c>
      <c r="L35" s="2" t="s">
        <v>963</v>
      </c>
    </row>
    <row r="38" customHeight="1" spans="12:12">
      <c r="L38" s="2" t="s">
        <v>964</v>
      </c>
    </row>
    <row r="39" customHeight="1" spans="3:3">
      <c r="C39" s="3" t="s">
        <v>965</v>
      </c>
    </row>
    <row r="40" customHeight="1" spans="3:5">
      <c r="C40" s="2" t="s">
        <v>966</v>
      </c>
      <c r="E40" s="2" t="s">
        <v>967</v>
      </c>
    </row>
    <row r="42" customHeight="1" spans="2:8">
      <c r="B42" s="2"/>
      <c r="C42" s="2" t="s">
        <v>968</v>
      </c>
      <c r="G42" s="2" t="s">
        <v>957</v>
      </c>
      <c r="H42" s="2" t="s">
        <v>969</v>
      </c>
    </row>
    <row r="43" customHeight="1" spans="3:16">
      <c r="C43" s="2" t="s">
        <v>970</v>
      </c>
      <c r="E43" s="2" t="s">
        <v>971</v>
      </c>
      <c r="H43" s="2"/>
      <c r="P43" s="2">
        <f>LN(2)/10</f>
        <v>0.0693147180559945</v>
      </c>
    </row>
    <row r="44" customHeight="1" spans="3:3">
      <c r="C44" s="2"/>
    </row>
    <row r="45" customHeight="1" spans="3:12">
      <c r="C45" s="2"/>
      <c r="H45" s="2"/>
      <c r="L45" s="2"/>
    </row>
    <row r="46" customHeight="1" spans="3:12">
      <c r="C46" s="2"/>
      <c r="L46" s="2"/>
    </row>
    <row r="47" customHeight="1" spans="8:8">
      <c r="H47" s="2"/>
    </row>
    <row r="48" customHeight="1" spans="3:3">
      <c r="C48" s="2"/>
    </row>
    <row r="49" customHeight="1" spans="8:17">
      <c r="H49" s="2"/>
      <c r="O49" s="2"/>
      <c r="Q49" s="2"/>
    </row>
    <row r="50" customHeight="1" spans="3:3">
      <c r="C50" s="2"/>
    </row>
    <row r="51" customHeight="1" spans="8:8">
      <c r="H51" s="2"/>
    </row>
    <row r="53" customHeight="1" spans="5:21">
      <c r="E53" s="3">
        <v>17</v>
      </c>
      <c r="S53" s="2"/>
      <c r="T53" s="2"/>
      <c r="U53" s="2"/>
    </row>
    <row r="54" customHeight="1" spans="5:21">
      <c r="E54" s="3">
        <v>25</v>
      </c>
      <c r="S54" s="2"/>
      <c r="T54" s="2"/>
      <c r="U54" s="2"/>
    </row>
    <row r="55" customHeight="1" spans="3:21">
      <c r="C55" s="2"/>
      <c r="E55" s="3">
        <v>23</v>
      </c>
      <c r="H55" s="2"/>
      <c r="S55" s="2"/>
      <c r="T55" s="2"/>
      <c r="U55" s="2"/>
    </row>
    <row r="56" customHeight="1" spans="1:21">
      <c r="A56" s="3">
        <v>35</v>
      </c>
      <c r="B56" s="3">
        <v>37</v>
      </c>
      <c r="E56" s="3">
        <v>28</v>
      </c>
      <c r="O56" s="2">
        <v>25</v>
      </c>
      <c r="Q56" s="2">
        <v>93</v>
      </c>
      <c r="R56" s="2"/>
      <c r="S56" s="2">
        <v>8.5</v>
      </c>
      <c r="T56" s="2"/>
      <c r="U56" s="2">
        <v>91.5</v>
      </c>
    </row>
    <row r="57" customHeight="1" spans="1:21">
      <c r="A57" s="3">
        <v>39</v>
      </c>
      <c r="B57" s="3">
        <v>30</v>
      </c>
      <c r="C57" s="2"/>
      <c r="E57" s="3">
        <v>29</v>
      </c>
      <c r="O57" s="2">
        <v>25</v>
      </c>
      <c r="Q57" s="2">
        <v>93</v>
      </c>
      <c r="S57" s="2">
        <v>9.5</v>
      </c>
      <c r="T57" s="2"/>
      <c r="U57" s="2">
        <v>90.5</v>
      </c>
    </row>
    <row r="58" customHeight="1" spans="1:21">
      <c r="A58" s="3">
        <v>19</v>
      </c>
      <c r="B58" s="3">
        <v>38</v>
      </c>
      <c r="E58" s="3">
        <v>33</v>
      </c>
      <c r="O58" s="2">
        <v>25</v>
      </c>
      <c r="Q58" s="2">
        <v>93</v>
      </c>
      <c r="S58" s="2">
        <v>10</v>
      </c>
      <c r="T58" s="2"/>
      <c r="U58" s="2">
        <v>90</v>
      </c>
    </row>
    <row r="59" customHeight="1" spans="1:21">
      <c r="A59" s="3">
        <v>21</v>
      </c>
      <c r="B59" s="3">
        <v>31</v>
      </c>
      <c r="C59" s="2"/>
      <c r="E59" s="3">
        <v>36</v>
      </c>
      <c r="N59" s="3" t="s">
        <v>972</v>
      </c>
      <c r="O59" s="2">
        <v>25</v>
      </c>
      <c r="Q59" s="2">
        <v>93</v>
      </c>
      <c r="S59" s="2">
        <v>8</v>
      </c>
      <c r="T59" s="2"/>
      <c r="U59" s="2">
        <v>92</v>
      </c>
    </row>
    <row r="60" customHeight="1" spans="1:5">
      <c r="A60" s="3">
        <v>36</v>
      </c>
      <c r="B60" s="3">
        <v>40</v>
      </c>
      <c r="E60" s="3">
        <v>25</v>
      </c>
    </row>
    <row r="61" customHeight="1" spans="1:21">
      <c r="A61" s="3">
        <v>20</v>
      </c>
      <c r="B61" s="3">
        <v>32</v>
      </c>
      <c r="C61" s="2"/>
      <c r="E61" s="3">
        <v>25</v>
      </c>
      <c r="S61" s="2">
        <f t="shared" ref="S61:S64" si="0">O56/100*S56+(100-Q56)/100*U56</f>
        <v>8.53</v>
      </c>
      <c r="U61" s="2">
        <f t="shared" ref="U61:U64" si="1">Q56/100*U56+(100-O56)/100*S56</f>
        <v>91.47</v>
      </c>
    </row>
    <row r="62" customHeight="1" spans="1:21">
      <c r="A62" s="3">
        <v>20</v>
      </c>
      <c r="B62" s="3">
        <v>40</v>
      </c>
      <c r="E62" s="3">
        <v>39</v>
      </c>
      <c r="S62" s="2">
        <f t="shared" si="0"/>
        <v>8.71</v>
      </c>
      <c r="U62" s="2">
        <f t="shared" si="1"/>
        <v>91.29</v>
      </c>
    </row>
    <row r="63" customHeight="1" spans="1:21">
      <c r="A63" s="4">
        <f>SUM(A56:A62)</f>
        <v>190</v>
      </c>
      <c r="B63" s="3">
        <v>25</v>
      </c>
      <c r="E63" s="3">
        <v>39</v>
      </c>
      <c r="S63" s="2">
        <f t="shared" si="0"/>
        <v>8.8</v>
      </c>
      <c r="U63" s="2">
        <f t="shared" si="1"/>
        <v>91.2</v>
      </c>
    </row>
    <row r="64" customHeight="1" spans="2:21">
      <c r="B64" s="3">
        <v>40</v>
      </c>
      <c r="E64" s="3">
        <v>29</v>
      </c>
      <c r="S64" s="2">
        <f t="shared" si="0"/>
        <v>8.44</v>
      </c>
      <c r="U64" s="2">
        <f t="shared" si="1"/>
        <v>91.56</v>
      </c>
    </row>
    <row r="65" customHeight="1" spans="2:5">
      <c r="B65" s="3">
        <v>32</v>
      </c>
      <c r="E65" s="3">
        <v>32</v>
      </c>
    </row>
    <row r="66" customHeight="1" spans="2:5">
      <c r="B66" s="3">
        <v>40</v>
      </c>
      <c r="E66" s="3">
        <v>37</v>
      </c>
    </row>
    <row r="67" customHeight="1" spans="2:5">
      <c r="B67" s="3">
        <v>25</v>
      </c>
      <c r="C67" s="3">
        <v>1</v>
      </c>
      <c r="D67" s="4">
        <f>SUM(B56:B67)</f>
        <v>410</v>
      </c>
      <c r="E67" s="3">
        <v>39</v>
      </c>
    </row>
    <row r="68" customHeight="1" spans="2:5">
      <c r="B68" s="3">
        <v>25</v>
      </c>
      <c r="C68" s="3">
        <v>2</v>
      </c>
      <c r="D68" s="4">
        <f>SUM(B68:B71)</f>
        <v>94</v>
      </c>
      <c r="E68" s="4">
        <f>SUM(E53:E67)</f>
        <v>456</v>
      </c>
    </row>
    <row r="69" customHeight="1" spans="2:2">
      <c r="B69" s="3">
        <v>25</v>
      </c>
    </row>
    <row r="70" customHeight="1" spans="2:2">
      <c r="B70" s="3">
        <v>25</v>
      </c>
    </row>
    <row r="71" customHeight="1" spans="2:2">
      <c r="B71" s="3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Ex8 Giordano 7.4</vt:lpstr>
      <vt:lpstr>Ex9 Giordano 7.4</vt:lpstr>
      <vt:lpstr>Ex10 Giordano 7.4</vt:lpstr>
      <vt:lpstr>Random Exercise</vt:lpstr>
      <vt:lpstr>Midterm review 1</vt:lpstr>
      <vt:lpstr>Midterm review2</vt:lpstr>
      <vt:lpstr>Midterm review 3</vt:lpstr>
      <vt:lpstr>Midterm review 4</vt:lpstr>
      <vt:lpstr>Sheet15</vt:lpstr>
      <vt:lpstr>Sheet16</vt:lpstr>
      <vt:lpstr>Sheet14</vt:lpstr>
      <vt:lpstr>Sheet17</vt:lpstr>
      <vt:lpstr>Sheet18</vt:lpstr>
      <vt:lpstr>Sheet19</vt:lpstr>
      <vt:lpstr>Sheet20</vt:lpstr>
      <vt:lpstr>Ôn thi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Võ Phạm</cp:lastModifiedBy>
  <dcterms:created xsi:type="dcterms:W3CDTF">2025-10-02T16:16:00Z</dcterms:created>
  <dcterms:modified xsi:type="dcterms:W3CDTF">2025-10-05T12:15:28Z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6931E76A75194FD7927D0F0D4E809891_12</vt:lpwstr>
  </property>
  <property fmtid="{D5CDD505-2E9C-101B-9397-08002B2CF9AE}" pid="3" name="KSOProductBuildVer">
    <vt:lpwstr>1033-12.2.0.22549</vt:lpwstr>
  </property>
</Properties>
</file>